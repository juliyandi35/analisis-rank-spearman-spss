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150824 (Analisis Rank Spearman SPSS)\"/>
    </mc:Choice>
  </mc:AlternateContent>
  <xr:revisionPtr revIDLastSave="0" documentId="13_ncr:1_{DAE74C7B-D3F7-4FEE-A28F-008CFBCD5939}" xr6:coauthVersionLast="47" xr6:coauthVersionMax="47" xr10:uidLastSave="{00000000-0000-0000-0000-000000000000}"/>
  <bookViews>
    <workbookView xWindow="-110" yWindow="-110" windowWidth="19420" windowHeight="10300" activeTab="2" xr2:uid="{40CD4654-EC32-4CBE-BF0B-DB1BF4A87318}"/>
  </bookViews>
  <sheets>
    <sheet name="Karakteristik Wirausaha" sheetId="1" r:id="rId1"/>
    <sheet name="Ketrampilan Kewirausahaan" sheetId="2" r:id="rId2"/>
    <sheet name="Data Spearm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2" l="1"/>
  <c r="AE4" i="2"/>
  <c r="AF4" i="2" s="1"/>
  <c r="AE5" i="2"/>
  <c r="AF5" i="2" s="1"/>
  <c r="AE6" i="2"/>
  <c r="AF6" i="2" s="1"/>
  <c r="AE7" i="2"/>
  <c r="AF7" i="2" s="1"/>
  <c r="AE8" i="2"/>
  <c r="AF8" i="2" s="1"/>
  <c r="AE9" i="2"/>
  <c r="AF9" i="2" s="1"/>
  <c r="AE10" i="2"/>
  <c r="AF10" i="2" s="1"/>
  <c r="AE11" i="2"/>
  <c r="AF11" i="2" s="1"/>
  <c r="AE12" i="2"/>
  <c r="AF12" i="2" s="1"/>
  <c r="AE13" i="2"/>
  <c r="AF13" i="2" s="1"/>
  <c r="AE14" i="2"/>
  <c r="AF14" i="2" s="1"/>
  <c r="AE15" i="2"/>
  <c r="AF15" i="2" s="1"/>
  <c r="AE16" i="2"/>
  <c r="AF16" i="2" s="1"/>
  <c r="AE17" i="2"/>
  <c r="AF17" i="2" s="1"/>
  <c r="AE18" i="2"/>
  <c r="AF18" i="2" s="1"/>
  <c r="AE19" i="2"/>
  <c r="AF19" i="2" s="1"/>
  <c r="AE20" i="2"/>
  <c r="AF20" i="2" s="1"/>
  <c r="AE21" i="2"/>
  <c r="AF21" i="2" s="1"/>
  <c r="AE22" i="2"/>
  <c r="AF22" i="2" s="1"/>
  <c r="AE23" i="2"/>
  <c r="AF23" i="2" s="1"/>
  <c r="AE24" i="2"/>
  <c r="AF24" i="2" s="1"/>
  <c r="AE25" i="2"/>
  <c r="AF25" i="2" s="1"/>
  <c r="AE26" i="2"/>
  <c r="AF26" i="2" s="1"/>
  <c r="AE27" i="2"/>
  <c r="AF27" i="2" s="1"/>
  <c r="AE28" i="2"/>
  <c r="AF28" i="2" s="1"/>
  <c r="AE29" i="2"/>
  <c r="AF29" i="2" s="1"/>
  <c r="AE30" i="2"/>
  <c r="AF30" i="2" s="1"/>
  <c r="AE31" i="2"/>
  <c r="AF31" i="2" s="1"/>
  <c r="AE32" i="2"/>
  <c r="AF32" i="2" s="1"/>
  <c r="AE33" i="2"/>
  <c r="AF33" i="2" s="1"/>
  <c r="AE34" i="2"/>
  <c r="AF34" i="2" s="1"/>
  <c r="AE35" i="2"/>
  <c r="AF35" i="2" s="1"/>
  <c r="AE36" i="2"/>
  <c r="AF36" i="2" s="1"/>
  <c r="AE37" i="2"/>
  <c r="AF37" i="2" s="1"/>
  <c r="AE38" i="2"/>
  <c r="AF38" i="2" s="1"/>
  <c r="AE39" i="2"/>
  <c r="AF39" i="2" s="1"/>
  <c r="AE40" i="2"/>
  <c r="AF40" i="2" s="1"/>
  <c r="AE41" i="2"/>
  <c r="AF41" i="2" s="1"/>
  <c r="AE42" i="2"/>
  <c r="AF42" i="2" s="1"/>
  <c r="AE43" i="2"/>
  <c r="AF43" i="2" s="1"/>
  <c r="AE44" i="2"/>
  <c r="AF44" i="2" s="1"/>
  <c r="AE45" i="2"/>
  <c r="AF45" i="2" s="1"/>
  <c r="AE46" i="2"/>
  <c r="AF46" i="2" s="1"/>
  <c r="AE47" i="2"/>
  <c r="AF47" i="2" s="1"/>
  <c r="AE48" i="2"/>
  <c r="AF48" i="2" s="1"/>
  <c r="AE49" i="2"/>
  <c r="AF49" i="2" s="1"/>
  <c r="AE50" i="2"/>
  <c r="AF50" i="2" s="1"/>
  <c r="AE51" i="2"/>
  <c r="AF51" i="2" s="1"/>
  <c r="AE52" i="2"/>
  <c r="AF52" i="2" s="1"/>
  <c r="AE3" i="2"/>
  <c r="AF3" i="2" s="1"/>
  <c r="Y4" i="2"/>
  <c r="Z4" i="2" s="1"/>
  <c r="Y5" i="2"/>
  <c r="Z5" i="2" s="1"/>
  <c r="Y6" i="2"/>
  <c r="Z6" i="2" s="1"/>
  <c r="Y7" i="2"/>
  <c r="Z7" i="2" s="1"/>
  <c r="Y8" i="2"/>
  <c r="Z8" i="2" s="1"/>
  <c r="Y9" i="2"/>
  <c r="Z9" i="2" s="1"/>
  <c r="Y10" i="2"/>
  <c r="Z10" i="2" s="1"/>
  <c r="Y11" i="2"/>
  <c r="Z11" i="2" s="1"/>
  <c r="Y12" i="2"/>
  <c r="Z12" i="2" s="1"/>
  <c r="Y13" i="2"/>
  <c r="Z13" i="2" s="1"/>
  <c r="Y14" i="2"/>
  <c r="Z14" i="2" s="1"/>
  <c r="Y15" i="2"/>
  <c r="Z15" i="2" s="1"/>
  <c r="Y16" i="2"/>
  <c r="Z16" i="2" s="1"/>
  <c r="Y17" i="2"/>
  <c r="Z17" i="2" s="1"/>
  <c r="Y18" i="2"/>
  <c r="Z18" i="2" s="1"/>
  <c r="Y19" i="2"/>
  <c r="Z19" i="2" s="1"/>
  <c r="Y20" i="2"/>
  <c r="Z20" i="2" s="1"/>
  <c r="Y21" i="2"/>
  <c r="Z21" i="2" s="1"/>
  <c r="Y22" i="2"/>
  <c r="Z22" i="2" s="1"/>
  <c r="Y23" i="2"/>
  <c r="Z23" i="2" s="1"/>
  <c r="Y24" i="2"/>
  <c r="Z24" i="2" s="1"/>
  <c r="Y25" i="2"/>
  <c r="Z25" i="2" s="1"/>
  <c r="Y26" i="2"/>
  <c r="Z26" i="2" s="1"/>
  <c r="Y27" i="2"/>
  <c r="Z27" i="2" s="1"/>
  <c r="Y28" i="2"/>
  <c r="Z28" i="2" s="1"/>
  <c r="Y29" i="2"/>
  <c r="Z29" i="2" s="1"/>
  <c r="Y30" i="2"/>
  <c r="Z30" i="2" s="1"/>
  <c r="Y31" i="2"/>
  <c r="Z31" i="2" s="1"/>
  <c r="Y32" i="2"/>
  <c r="Z32" i="2" s="1"/>
  <c r="Y33" i="2"/>
  <c r="Z33" i="2" s="1"/>
  <c r="Y34" i="2"/>
  <c r="Z34" i="2" s="1"/>
  <c r="Y35" i="2"/>
  <c r="Z35" i="2" s="1"/>
  <c r="Y36" i="2"/>
  <c r="Z36" i="2" s="1"/>
  <c r="Y37" i="2"/>
  <c r="Z37" i="2" s="1"/>
  <c r="Y38" i="2"/>
  <c r="Z38" i="2" s="1"/>
  <c r="Y39" i="2"/>
  <c r="Z39" i="2" s="1"/>
  <c r="Y40" i="2"/>
  <c r="Z40" i="2" s="1"/>
  <c r="Y41" i="2"/>
  <c r="Z41" i="2" s="1"/>
  <c r="Y42" i="2"/>
  <c r="Z42" i="2" s="1"/>
  <c r="Y43" i="2"/>
  <c r="Z43" i="2" s="1"/>
  <c r="Y44" i="2"/>
  <c r="Z44" i="2" s="1"/>
  <c r="Y45" i="2"/>
  <c r="Z45" i="2" s="1"/>
  <c r="Y46" i="2"/>
  <c r="Z46" i="2" s="1"/>
  <c r="Y47" i="2"/>
  <c r="Z47" i="2" s="1"/>
  <c r="Y48" i="2"/>
  <c r="Z48" i="2" s="1"/>
  <c r="Y49" i="2"/>
  <c r="Z49" i="2" s="1"/>
  <c r="Y50" i="2"/>
  <c r="Z50" i="2" s="1"/>
  <c r="Y51" i="2"/>
  <c r="Z51" i="2" s="1"/>
  <c r="Y52" i="2"/>
  <c r="Z52" i="2" s="1"/>
  <c r="Y3" i="2"/>
  <c r="Z3" i="2" s="1"/>
  <c r="S4" i="2"/>
  <c r="T4" i="2" s="1"/>
  <c r="S5" i="2"/>
  <c r="T5" i="2" s="1"/>
  <c r="S6" i="2"/>
  <c r="T6" i="2" s="1"/>
  <c r="S7" i="2"/>
  <c r="T7" i="2" s="1"/>
  <c r="S8" i="2"/>
  <c r="T8" i="2" s="1"/>
  <c r="S9" i="2"/>
  <c r="T9" i="2" s="1"/>
  <c r="S10" i="2"/>
  <c r="T10" i="2" s="1"/>
  <c r="S11" i="2"/>
  <c r="T11" i="2" s="1"/>
  <c r="S12" i="2"/>
  <c r="T12" i="2" s="1"/>
  <c r="S13" i="2"/>
  <c r="T13" i="2" s="1"/>
  <c r="S14" i="2"/>
  <c r="T14" i="2" s="1"/>
  <c r="S15" i="2"/>
  <c r="T15" i="2" s="1"/>
  <c r="S16" i="2"/>
  <c r="T16" i="2" s="1"/>
  <c r="S17" i="2"/>
  <c r="T17" i="2" s="1"/>
  <c r="S18" i="2"/>
  <c r="T18" i="2" s="1"/>
  <c r="S19" i="2"/>
  <c r="T19" i="2" s="1"/>
  <c r="S20" i="2"/>
  <c r="T20" i="2" s="1"/>
  <c r="S21" i="2"/>
  <c r="T21" i="2" s="1"/>
  <c r="S22" i="2"/>
  <c r="T22" i="2" s="1"/>
  <c r="S23" i="2"/>
  <c r="T23" i="2" s="1"/>
  <c r="S24" i="2"/>
  <c r="T24" i="2" s="1"/>
  <c r="S25" i="2"/>
  <c r="T25" i="2" s="1"/>
  <c r="S26" i="2"/>
  <c r="T26" i="2" s="1"/>
  <c r="S27" i="2"/>
  <c r="T27" i="2" s="1"/>
  <c r="S28" i="2"/>
  <c r="T28" i="2" s="1"/>
  <c r="S29" i="2"/>
  <c r="T29" i="2" s="1"/>
  <c r="S30" i="2"/>
  <c r="T30" i="2" s="1"/>
  <c r="S31" i="2"/>
  <c r="T31" i="2" s="1"/>
  <c r="S32" i="2"/>
  <c r="T32" i="2" s="1"/>
  <c r="S33" i="2"/>
  <c r="T33" i="2" s="1"/>
  <c r="S34" i="2"/>
  <c r="T34" i="2" s="1"/>
  <c r="S35" i="2"/>
  <c r="T35" i="2" s="1"/>
  <c r="S36" i="2"/>
  <c r="T36" i="2" s="1"/>
  <c r="S37" i="2"/>
  <c r="T37" i="2" s="1"/>
  <c r="S38" i="2"/>
  <c r="T38" i="2" s="1"/>
  <c r="S39" i="2"/>
  <c r="T39" i="2" s="1"/>
  <c r="S40" i="2"/>
  <c r="T40" i="2" s="1"/>
  <c r="S41" i="2"/>
  <c r="T41" i="2" s="1"/>
  <c r="S42" i="2"/>
  <c r="T42" i="2" s="1"/>
  <c r="S43" i="2"/>
  <c r="T43" i="2" s="1"/>
  <c r="S44" i="2"/>
  <c r="T44" i="2" s="1"/>
  <c r="S45" i="2"/>
  <c r="T45" i="2" s="1"/>
  <c r="S46" i="2"/>
  <c r="T46" i="2" s="1"/>
  <c r="S47" i="2"/>
  <c r="T47" i="2" s="1"/>
  <c r="S48" i="2"/>
  <c r="T48" i="2" s="1"/>
  <c r="S49" i="2"/>
  <c r="T49" i="2" s="1"/>
  <c r="S50" i="2"/>
  <c r="T50" i="2" s="1"/>
  <c r="S51" i="2"/>
  <c r="T51" i="2" s="1"/>
  <c r="S52" i="2"/>
  <c r="T52" i="2" s="1"/>
  <c r="S3" i="2"/>
  <c r="T3" i="2" s="1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3" i="2"/>
  <c r="N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3" i="2"/>
  <c r="H3" i="2" s="1"/>
  <c r="AV4" i="1"/>
  <c r="AW4" i="1" s="1"/>
  <c r="AV5" i="1"/>
  <c r="AW5" i="1" s="1"/>
  <c r="AV6" i="1"/>
  <c r="AW6" i="1" s="1"/>
  <c r="AV7" i="1"/>
  <c r="AW7" i="1" s="1"/>
  <c r="AV8" i="1"/>
  <c r="AW8" i="1" s="1"/>
  <c r="AV9" i="1"/>
  <c r="AW9" i="1" s="1"/>
  <c r="AV10" i="1"/>
  <c r="AW10" i="1" s="1"/>
  <c r="AV11" i="1"/>
  <c r="AW11" i="1" s="1"/>
  <c r="AV12" i="1"/>
  <c r="AW12" i="1" s="1"/>
  <c r="AV13" i="1"/>
  <c r="AW13" i="1" s="1"/>
  <c r="AV14" i="1"/>
  <c r="AW14" i="1" s="1"/>
  <c r="AV15" i="1"/>
  <c r="AW15" i="1" s="1"/>
  <c r="AV16" i="1"/>
  <c r="AW16" i="1" s="1"/>
  <c r="AV17" i="1"/>
  <c r="AW17" i="1" s="1"/>
  <c r="AV18" i="1"/>
  <c r="AW18" i="1" s="1"/>
  <c r="AV19" i="1"/>
  <c r="AW19" i="1" s="1"/>
  <c r="AV20" i="1"/>
  <c r="AW20" i="1" s="1"/>
  <c r="AV21" i="1"/>
  <c r="AW21" i="1" s="1"/>
  <c r="AV22" i="1"/>
  <c r="AW22" i="1" s="1"/>
  <c r="AV23" i="1"/>
  <c r="AW23" i="1" s="1"/>
  <c r="AV24" i="1"/>
  <c r="AW24" i="1" s="1"/>
  <c r="AV25" i="1"/>
  <c r="AW25" i="1" s="1"/>
  <c r="AV26" i="1"/>
  <c r="AW26" i="1" s="1"/>
  <c r="AV27" i="1"/>
  <c r="AW27" i="1" s="1"/>
  <c r="AV28" i="1"/>
  <c r="AW28" i="1" s="1"/>
  <c r="AV29" i="1"/>
  <c r="AW29" i="1" s="1"/>
  <c r="AV30" i="1"/>
  <c r="AW30" i="1" s="1"/>
  <c r="AV31" i="1"/>
  <c r="AW31" i="1" s="1"/>
  <c r="AV32" i="1"/>
  <c r="AW32" i="1" s="1"/>
  <c r="AV33" i="1"/>
  <c r="AW33" i="1" s="1"/>
  <c r="AV34" i="1"/>
  <c r="AW34" i="1" s="1"/>
  <c r="AV35" i="1"/>
  <c r="AW35" i="1" s="1"/>
  <c r="AV36" i="1"/>
  <c r="AW36" i="1" s="1"/>
  <c r="AV37" i="1"/>
  <c r="AW37" i="1" s="1"/>
  <c r="AV38" i="1"/>
  <c r="AW38" i="1" s="1"/>
  <c r="AV39" i="1"/>
  <c r="AW39" i="1" s="1"/>
  <c r="AV40" i="1"/>
  <c r="AW40" i="1" s="1"/>
  <c r="AV41" i="1"/>
  <c r="AW41" i="1" s="1"/>
  <c r="AV42" i="1"/>
  <c r="AW42" i="1" s="1"/>
  <c r="AV43" i="1"/>
  <c r="AW43" i="1" s="1"/>
  <c r="AV44" i="1"/>
  <c r="AW44" i="1" s="1"/>
  <c r="AV45" i="1"/>
  <c r="AW45" i="1" s="1"/>
  <c r="AV46" i="1"/>
  <c r="AW46" i="1" s="1"/>
  <c r="AV47" i="1"/>
  <c r="AW47" i="1" s="1"/>
  <c r="AV48" i="1"/>
  <c r="AW48" i="1" s="1"/>
  <c r="AV49" i="1"/>
  <c r="AW49" i="1" s="1"/>
  <c r="AV50" i="1"/>
  <c r="AW50" i="1" s="1"/>
  <c r="AV51" i="1"/>
  <c r="AW51" i="1" s="1"/>
  <c r="AV52" i="1"/>
  <c r="AW52" i="1" s="1"/>
  <c r="AV3" i="1"/>
  <c r="AW3" i="1" s="1"/>
  <c r="AQ4" i="1"/>
  <c r="AR4" i="1" s="1"/>
  <c r="AQ5" i="1"/>
  <c r="AR5" i="1" s="1"/>
  <c r="AQ6" i="1"/>
  <c r="AR6" i="1" s="1"/>
  <c r="AQ7" i="1"/>
  <c r="AR7" i="1" s="1"/>
  <c r="AQ8" i="1"/>
  <c r="AR8" i="1" s="1"/>
  <c r="AQ9" i="1"/>
  <c r="AR9" i="1" s="1"/>
  <c r="AQ10" i="1"/>
  <c r="AR10" i="1" s="1"/>
  <c r="AQ11" i="1"/>
  <c r="AR11" i="1" s="1"/>
  <c r="AQ12" i="1"/>
  <c r="AR12" i="1" s="1"/>
  <c r="AQ13" i="1"/>
  <c r="AR13" i="1" s="1"/>
  <c r="AQ14" i="1"/>
  <c r="AR14" i="1" s="1"/>
  <c r="AQ15" i="1"/>
  <c r="AR15" i="1" s="1"/>
  <c r="AQ16" i="1"/>
  <c r="AR16" i="1" s="1"/>
  <c r="AQ17" i="1"/>
  <c r="AR17" i="1" s="1"/>
  <c r="AQ18" i="1"/>
  <c r="AR18" i="1" s="1"/>
  <c r="AQ19" i="1"/>
  <c r="AR19" i="1" s="1"/>
  <c r="AQ20" i="1"/>
  <c r="AR20" i="1" s="1"/>
  <c r="AQ21" i="1"/>
  <c r="AR21" i="1" s="1"/>
  <c r="AQ22" i="1"/>
  <c r="AR22" i="1" s="1"/>
  <c r="AQ23" i="1"/>
  <c r="AR23" i="1" s="1"/>
  <c r="AQ24" i="1"/>
  <c r="AR24" i="1" s="1"/>
  <c r="AQ25" i="1"/>
  <c r="AR25" i="1" s="1"/>
  <c r="AQ26" i="1"/>
  <c r="AR26" i="1" s="1"/>
  <c r="AQ27" i="1"/>
  <c r="AR27" i="1" s="1"/>
  <c r="AQ28" i="1"/>
  <c r="AR28" i="1" s="1"/>
  <c r="AQ29" i="1"/>
  <c r="AR29" i="1" s="1"/>
  <c r="AQ30" i="1"/>
  <c r="AR30" i="1" s="1"/>
  <c r="AQ31" i="1"/>
  <c r="AR31" i="1" s="1"/>
  <c r="AQ32" i="1"/>
  <c r="AR32" i="1" s="1"/>
  <c r="AQ33" i="1"/>
  <c r="AR33" i="1" s="1"/>
  <c r="AQ34" i="1"/>
  <c r="AR34" i="1" s="1"/>
  <c r="AQ35" i="1"/>
  <c r="AR35" i="1" s="1"/>
  <c r="AQ36" i="1"/>
  <c r="AR36" i="1" s="1"/>
  <c r="AQ37" i="1"/>
  <c r="AR37" i="1" s="1"/>
  <c r="AQ38" i="1"/>
  <c r="AR38" i="1" s="1"/>
  <c r="AQ39" i="1"/>
  <c r="AR39" i="1" s="1"/>
  <c r="AQ40" i="1"/>
  <c r="AR40" i="1" s="1"/>
  <c r="AQ41" i="1"/>
  <c r="AR41" i="1" s="1"/>
  <c r="AQ42" i="1"/>
  <c r="AR42" i="1" s="1"/>
  <c r="AQ43" i="1"/>
  <c r="AR43" i="1" s="1"/>
  <c r="AQ44" i="1"/>
  <c r="AR44" i="1" s="1"/>
  <c r="AQ45" i="1"/>
  <c r="AR45" i="1" s="1"/>
  <c r="AQ46" i="1"/>
  <c r="AR46" i="1" s="1"/>
  <c r="AQ47" i="1"/>
  <c r="AR47" i="1" s="1"/>
  <c r="AQ48" i="1"/>
  <c r="AR48" i="1" s="1"/>
  <c r="AQ49" i="1"/>
  <c r="AR49" i="1" s="1"/>
  <c r="AQ50" i="1"/>
  <c r="AR50" i="1" s="1"/>
  <c r="AQ51" i="1"/>
  <c r="AR51" i="1" s="1"/>
  <c r="AQ52" i="1"/>
  <c r="AR52" i="1" s="1"/>
  <c r="AQ3" i="1"/>
  <c r="AR3" i="1" s="1"/>
  <c r="AL4" i="1"/>
  <c r="AM4" i="1" s="1"/>
  <c r="AL5" i="1"/>
  <c r="AM5" i="1" s="1"/>
  <c r="AL6" i="1"/>
  <c r="AM6" i="1" s="1"/>
  <c r="AL7" i="1"/>
  <c r="AM7" i="1" s="1"/>
  <c r="AL8" i="1"/>
  <c r="AM8" i="1" s="1"/>
  <c r="AL9" i="1"/>
  <c r="AM9" i="1" s="1"/>
  <c r="AL10" i="1"/>
  <c r="AM10" i="1" s="1"/>
  <c r="AL11" i="1"/>
  <c r="AM11" i="1" s="1"/>
  <c r="AL12" i="1"/>
  <c r="AM12" i="1" s="1"/>
  <c r="AL13" i="1"/>
  <c r="AM13" i="1" s="1"/>
  <c r="AL14" i="1"/>
  <c r="AM14" i="1" s="1"/>
  <c r="AL15" i="1"/>
  <c r="AM15" i="1" s="1"/>
  <c r="AL16" i="1"/>
  <c r="AM16" i="1" s="1"/>
  <c r="AL17" i="1"/>
  <c r="AM17" i="1" s="1"/>
  <c r="AL18" i="1"/>
  <c r="AM18" i="1" s="1"/>
  <c r="AL19" i="1"/>
  <c r="AM19" i="1" s="1"/>
  <c r="AL20" i="1"/>
  <c r="AM20" i="1" s="1"/>
  <c r="AL21" i="1"/>
  <c r="AM21" i="1" s="1"/>
  <c r="AL22" i="1"/>
  <c r="AM22" i="1" s="1"/>
  <c r="AL23" i="1"/>
  <c r="AM23" i="1" s="1"/>
  <c r="AL24" i="1"/>
  <c r="AM24" i="1" s="1"/>
  <c r="AL25" i="1"/>
  <c r="AM25" i="1" s="1"/>
  <c r="AL26" i="1"/>
  <c r="AM26" i="1" s="1"/>
  <c r="AL27" i="1"/>
  <c r="AM27" i="1" s="1"/>
  <c r="AL28" i="1"/>
  <c r="AM28" i="1" s="1"/>
  <c r="AL29" i="1"/>
  <c r="AM29" i="1" s="1"/>
  <c r="AL30" i="1"/>
  <c r="AM30" i="1" s="1"/>
  <c r="AL31" i="1"/>
  <c r="AM31" i="1" s="1"/>
  <c r="AL32" i="1"/>
  <c r="AM32" i="1" s="1"/>
  <c r="AL33" i="1"/>
  <c r="AM33" i="1" s="1"/>
  <c r="AL34" i="1"/>
  <c r="AM34" i="1" s="1"/>
  <c r="AL35" i="1"/>
  <c r="AM35" i="1" s="1"/>
  <c r="AL36" i="1"/>
  <c r="AM36" i="1" s="1"/>
  <c r="AL37" i="1"/>
  <c r="AM37" i="1" s="1"/>
  <c r="AL38" i="1"/>
  <c r="AM38" i="1" s="1"/>
  <c r="AL39" i="1"/>
  <c r="AM39" i="1" s="1"/>
  <c r="AL40" i="1"/>
  <c r="AM40" i="1" s="1"/>
  <c r="AL41" i="1"/>
  <c r="AM41" i="1" s="1"/>
  <c r="AL42" i="1"/>
  <c r="AM42" i="1" s="1"/>
  <c r="AL43" i="1"/>
  <c r="AM43" i="1" s="1"/>
  <c r="AL44" i="1"/>
  <c r="AM44" i="1" s="1"/>
  <c r="AL45" i="1"/>
  <c r="AM45" i="1" s="1"/>
  <c r="AL46" i="1"/>
  <c r="AM46" i="1" s="1"/>
  <c r="AL47" i="1"/>
  <c r="AM47" i="1" s="1"/>
  <c r="AL48" i="1"/>
  <c r="AM48" i="1" s="1"/>
  <c r="AL49" i="1"/>
  <c r="AM49" i="1" s="1"/>
  <c r="AL50" i="1"/>
  <c r="AM50" i="1" s="1"/>
  <c r="AL51" i="1"/>
  <c r="AM51" i="1" s="1"/>
  <c r="AL52" i="1"/>
  <c r="AM52" i="1" s="1"/>
  <c r="AL3" i="1"/>
  <c r="AM3" i="1" s="1"/>
  <c r="AG4" i="1"/>
  <c r="AH4" i="1" s="1"/>
  <c r="AG5" i="1"/>
  <c r="AH5" i="1" s="1"/>
  <c r="AG6" i="1"/>
  <c r="AH6" i="1" s="1"/>
  <c r="AG7" i="1"/>
  <c r="AH7" i="1" s="1"/>
  <c r="AG8" i="1"/>
  <c r="AH8" i="1" s="1"/>
  <c r="AG9" i="1"/>
  <c r="AH9" i="1" s="1"/>
  <c r="AG10" i="1"/>
  <c r="AH10" i="1" s="1"/>
  <c r="AG11" i="1"/>
  <c r="AH11" i="1" s="1"/>
  <c r="AG12" i="1"/>
  <c r="AH12" i="1" s="1"/>
  <c r="AG13" i="1"/>
  <c r="AH13" i="1" s="1"/>
  <c r="AG14" i="1"/>
  <c r="AH14" i="1" s="1"/>
  <c r="AG15" i="1"/>
  <c r="AH15" i="1" s="1"/>
  <c r="AG16" i="1"/>
  <c r="AH16" i="1" s="1"/>
  <c r="AG17" i="1"/>
  <c r="AH17" i="1" s="1"/>
  <c r="AG18" i="1"/>
  <c r="AH18" i="1" s="1"/>
  <c r="AG19" i="1"/>
  <c r="AH19" i="1" s="1"/>
  <c r="AG20" i="1"/>
  <c r="AH20" i="1" s="1"/>
  <c r="AG21" i="1"/>
  <c r="AH21" i="1" s="1"/>
  <c r="AG22" i="1"/>
  <c r="AH22" i="1" s="1"/>
  <c r="AG23" i="1"/>
  <c r="AH23" i="1" s="1"/>
  <c r="AG24" i="1"/>
  <c r="AH24" i="1" s="1"/>
  <c r="AG25" i="1"/>
  <c r="AH25" i="1" s="1"/>
  <c r="AG26" i="1"/>
  <c r="AH26" i="1" s="1"/>
  <c r="AG27" i="1"/>
  <c r="AH27" i="1" s="1"/>
  <c r="AG28" i="1"/>
  <c r="AH28" i="1" s="1"/>
  <c r="AG29" i="1"/>
  <c r="AH29" i="1" s="1"/>
  <c r="AG30" i="1"/>
  <c r="AH30" i="1" s="1"/>
  <c r="AG31" i="1"/>
  <c r="AH31" i="1" s="1"/>
  <c r="AG32" i="1"/>
  <c r="AH32" i="1" s="1"/>
  <c r="AG33" i="1"/>
  <c r="AH33" i="1" s="1"/>
  <c r="AG34" i="1"/>
  <c r="AH34" i="1" s="1"/>
  <c r="AG35" i="1"/>
  <c r="AH35" i="1" s="1"/>
  <c r="AG36" i="1"/>
  <c r="AH36" i="1" s="1"/>
  <c r="AG37" i="1"/>
  <c r="AH37" i="1" s="1"/>
  <c r="AG38" i="1"/>
  <c r="AH38" i="1" s="1"/>
  <c r="AG39" i="1"/>
  <c r="AH39" i="1" s="1"/>
  <c r="AG40" i="1"/>
  <c r="AH40" i="1" s="1"/>
  <c r="AG41" i="1"/>
  <c r="AH41" i="1" s="1"/>
  <c r="AG42" i="1"/>
  <c r="AH42" i="1" s="1"/>
  <c r="AG43" i="1"/>
  <c r="AH43" i="1" s="1"/>
  <c r="AG44" i="1"/>
  <c r="AH44" i="1" s="1"/>
  <c r="AG45" i="1"/>
  <c r="AH45" i="1" s="1"/>
  <c r="AG46" i="1"/>
  <c r="AH46" i="1" s="1"/>
  <c r="AG47" i="1"/>
  <c r="AH47" i="1" s="1"/>
  <c r="AG48" i="1"/>
  <c r="AH48" i="1" s="1"/>
  <c r="AG49" i="1"/>
  <c r="AH49" i="1" s="1"/>
  <c r="AG50" i="1"/>
  <c r="AH50" i="1" s="1"/>
  <c r="AG51" i="1"/>
  <c r="AH51" i="1" s="1"/>
  <c r="AG52" i="1"/>
  <c r="AH52" i="1" s="1"/>
  <c r="AG3" i="1"/>
  <c r="AH3" i="1" s="1"/>
  <c r="AA4" i="1"/>
  <c r="AB4" i="1" s="1"/>
  <c r="AA5" i="1"/>
  <c r="AB5" i="1" s="1"/>
  <c r="AA6" i="1"/>
  <c r="AB6" i="1" s="1"/>
  <c r="AA7" i="1"/>
  <c r="AB7" i="1" s="1"/>
  <c r="AA8" i="1"/>
  <c r="AB8" i="1" s="1"/>
  <c r="AA9" i="1"/>
  <c r="AB9" i="1" s="1"/>
  <c r="AA10" i="1"/>
  <c r="AB10" i="1" s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B51" i="1" s="1"/>
  <c r="AA52" i="1"/>
  <c r="AB52" i="1" s="1"/>
  <c r="AA3" i="1"/>
  <c r="AB3" i="1" s="1"/>
  <c r="U4" i="1"/>
  <c r="V4" i="1" s="1"/>
  <c r="U5" i="1"/>
  <c r="V5" i="1" s="1"/>
  <c r="U6" i="1"/>
  <c r="V6" i="1" s="1"/>
  <c r="U7" i="1"/>
  <c r="V7" i="1" s="1"/>
  <c r="U8" i="1"/>
  <c r="V8" i="1" s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V20" i="1" s="1"/>
  <c r="U21" i="1"/>
  <c r="V21" i="1" s="1"/>
  <c r="U22" i="1"/>
  <c r="V22" i="1" s="1"/>
  <c r="U23" i="1"/>
  <c r="V23" i="1" s="1"/>
  <c r="U24" i="1"/>
  <c r="V24" i="1" s="1"/>
  <c r="U25" i="1"/>
  <c r="V25" i="1" s="1"/>
  <c r="U26" i="1"/>
  <c r="V26" i="1" s="1"/>
  <c r="U27" i="1"/>
  <c r="V27" i="1" s="1"/>
  <c r="U28" i="1"/>
  <c r="V28" i="1" s="1"/>
  <c r="U29" i="1"/>
  <c r="V29" i="1" s="1"/>
  <c r="U30" i="1"/>
  <c r="V30" i="1" s="1"/>
  <c r="U31" i="1"/>
  <c r="V31" i="1" s="1"/>
  <c r="U32" i="1"/>
  <c r="V32" i="1" s="1"/>
  <c r="U33" i="1"/>
  <c r="V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40" i="1"/>
  <c r="V40" i="1" s="1"/>
  <c r="U41" i="1"/>
  <c r="V41" i="1" s="1"/>
  <c r="U42" i="1"/>
  <c r="V42" i="1" s="1"/>
  <c r="U43" i="1"/>
  <c r="V43" i="1" s="1"/>
  <c r="U44" i="1"/>
  <c r="V44" i="1" s="1"/>
  <c r="U45" i="1"/>
  <c r="V45" i="1" s="1"/>
  <c r="U46" i="1"/>
  <c r="V46" i="1" s="1"/>
  <c r="U47" i="1"/>
  <c r="V47" i="1" s="1"/>
  <c r="U48" i="1"/>
  <c r="V48" i="1" s="1"/>
  <c r="U49" i="1"/>
  <c r="V49" i="1" s="1"/>
  <c r="U50" i="1"/>
  <c r="V50" i="1" s="1"/>
  <c r="U51" i="1"/>
  <c r="V51" i="1" s="1"/>
  <c r="U52" i="1"/>
  <c r="V52" i="1" s="1"/>
  <c r="U3" i="1"/>
  <c r="V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3" i="1"/>
  <c r="P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3" i="1"/>
  <c r="J3" i="1" s="1"/>
  <c r="H53" i="1"/>
  <c r="AH53" i="1" l="1"/>
  <c r="AH54" i="1" s="1"/>
  <c r="AB53" i="1"/>
  <c r="AB54" i="1" s="1"/>
  <c r="J53" i="1"/>
  <c r="J54" i="1" s="1"/>
  <c r="AM53" i="1"/>
  <c r="AM54" i="1" s="1"/>
  <c r="AW53" i="1"/>
  <c r="AW54" i="1" s="1"/>
  <c r="V53" i="1"/>
  <c r="V54" i="1" s="1"/>
  <c r="AR53" i="1"/>
  <c r="AR54" i="1" s="1"/>
  <c r="H53" i="2"/>
  <c r="H54" i="2" s="1"/>
  <c r="N53" i="2"/>
  <c r="N54" i="2" s="1"/>
  <c r="Z53" i="2"/>
  <c r="Z54" i="2" s="1"/>
  <c r="AF53" i="2"/>
  <c r="AF54" i="2" s="1"/>
  <c r="T53" i="2"/>
  <c r="T54" i="2" s="1"/>
  <c r="P53" i="1"/>
  <c r="P54" i="1" s="1"/>
</calcChain>
</file>

<file path=xl/sharedStrings.xml><?xml version="1.0" encoding="utf-8"?>
<sst xmlns="http://schemas.openxmlformats.org/spreadsheetml/2006/main" count="274" uniqueCount="95">
  <si>
    <t>No.</t>
  </si>
  <si>
    <t>Nama Responden</t>
  </si>
  <si>
    <t>Umur (Tahun)</t>
  </si>
  <si>
    <t>Pengalaman (Tahun)</t>
  </si>
  <si>
    <t>Kepercayaan Diri</t>
  </si>
  <si>
    <t>Berani Mengambil Resiko</t>
  </si>
  <si>
    <t xml:space="preserve">Kerja Keras </t>
  </si>
  <si>
    <t>Inovatif</t>
  </si>
  <si>
    <t>Mandiri</t>
  </si>
  <si>
    <t>Berorientasi ke Depan</t>
  </si>
  <si>
    <t>Tanggap</t>
  </si>
  <si>
    <t xml:space="preserve">Memiliki Jaringan </t>
  </si>
  <si>
    <t>Total Bobot Maks</t>
  </si>
  <si>
    <t>Bobot</t>
  </si>
  <si>
    <t>Kesimpulan</t>
  </si>
  <si>
    <t>Keterampilan Profesi</t>
  </si>
  <si>
    <t>a</t>
  </si>
  <si>
    <t>b</t>
  </si>
  <si>
    <t>Nama</t>
  </si>
  <si>
    <t>Keterampilan Manajemen</t>
  </si>
  <si>
    <t>Keterampilan Strategi</t>
  </si>
  <si>
    <t>Keterampilan Jaringan</t>
  </si>
  <si>
    <t>Keterampilan Peluang</t>
  </si>
  <si>
    <t>c</t>
  </si>
  <si>
    <t>Pertrosina Burdam</t>
  </si>
  <si>
    <t>Yolanda Y. Sorue</t>
  </si>
  <si>
    <t>Nelce Anto</t>
  </si>
  <si>
    <t>Marta</t>
  </si>
  <si>
    <t>Petra Bukerga</t>
  </si>
  <si>
    <t>Yuliana</t>
  </si>
  <si>
    <t>Mere</t>
  </si>
  <si>
    <t>Engky</t>
  </si>
  <si>
    <t>Ardoce Tariga</t>
  </si>
  <si>
    <t>Martina</t>
  </si>
  <si>
    <t>Derlin Tabuni</t>
  </si>
  <si>
    <t>Tabita</t>
  </si>
  <si>
    <t>Maria</t>
  </si>
  <si>
    <t>Diana Kao</t>
  </si>
  <si>
    <t>Riana</t>
  </si>
  <si>
    <t>siti</t>
  </si>
  <si>
    <t>Susanti Taran</t>
  </si>
  <si>
    <t>Defrosa</t>
  </si>
  <si>
    <t>Dina Agia</t>
  </si>
  <si>
    <t>Hendrika Gimini</t>
  </si>
  <si>
    <t>Latifa Beyete</t>
  </si>
  <si>
    <t>Lis Nur Wugaje</t>
  </si>
  <si>
    <t>Tidora Tobi</t>
  </si>
  <si>
    <t>Evita Rumihin</t>
  </si>
  <si>
    <t>Agustina Modaye</t>
  </si>
  <si>
    <t>Dayani</t>
  </si>
  <si>
    <t>Yurike Lesiputi</t>
  </si>
  <si>
    <t>Almendo</t>
  </si>
  <si>
    <t>Yanti</t>
  </si>
  <si>
    <t>Yuli</t>
  </si>
  <si>
    <t>Rivana</t>
  </si>
  <si>
    <t>Mince Rumadas</t>
  </si>
  <si>
    <t>Nelly</t>
  </si>
  <si>
    <t>Rahel Saweri</t>
  </si>
  <si>
    <t>orpa Momot</t>
  </si>
  <si>
    <t>Ester</t>
  </si>
  <si>
    <t>Olga Rumadas</t>
  </si>
  <si>
    <t>Anace</t>
  </si>
  <si>
    <t xml:space="preserve">Lusiana </t>
  </si>
  <si>
    <t>Yulce</t>
  </si>
  <si>
    <t>Siti</t>
  </si>
  <si>
    <t>Monika</t>
  </si>
  <si>
    <t>Lamorta</t>
  </si>
  <si>
    <t>Lidya</t>
  </si>
  <si>
    <t>Federika</t>
  </si>
  <si>
    <t>Mira Fatem</t>
  </si>
  <si>
    <t>Selomi</t>
  </si>
  <si>
    <t>Asma Rada</t>
  </si>
  <si>
    <t>Aprilia</t>
  </si>
  <si>
    <t>Zulkam</t>
  </si>
  <si>
    <t>Pendidikan</t>
  </si>
  <si>
    <t>Percaya Diri</t>
  </si>
  <si>
    <t>Kerja Keras</t>
  </si>
  <si>
    <t>memiliki jaringan</t>
  </si>
  <si>
    <t>Profesi</t>
  </si>
  <si>
    <t>Manajemen</t>
  </si>
  <si>
    <t>Strategi</t>
  </si>
  <si>
    <t>Jaringan</t>
  </si>
  <si>
    <t>Peluang</t>
  </si>
  <si>
    <t>SD</t>
  </si>
  <si>
    <t>S1</t>
  </si>
  <si>
    <t>SMA</t>
  </si>
  <si>
    <t>SMP</t>
  </si>
  <si>
    <t>-</t>
  </si>
  <si>
    <t>Korelasi</t>
  </si>
  <si>
    <t>Spearman</t>
  </si>
  <si>
    <t>Memiliki Jaringan</t>
  </si>
  <si>
    <t>Ket. Manajemen</t>
  </si>
  <si>
    <t>Ket. Strategi</t>
  </si>
  <si>
    <t>Ket. Jaringan</t>
  </si>
  <si>
    <t>Ket. Peluang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</si>
</sst>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7" xfId="0" applyBorder="1"/>
    <xf numFmtId="0" fontId="0" fillId="0" borderId="1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right"/>
    </xf>
    <xf numFmtId="0" fontId="0" fillId="0" borderId="4" xfId="0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19A3-B116-4977-B337-CF9E047EC66E}">
  <dimension ref="A1:AW57"/>
  <sheetViews>
    <sheetView topLeftCell="AG46" zoomScale="60" zoomScaleNormal="60" workbookViewId="0">
      <selection activeCell="AX1" sqref="AX1:AX1048576"/>
    </sheetView>
  </sheetViews>
  <sheetFormatPr defaultRowHeight="14.5" x14ac:dyDescent="0.35"/>
  <cols>
    <col min="1" max="1" width="3.7265625" style="1" bestFit="1" customWidth="1"/>
    <col min="2" max="2" width="17.7265625" style="1" bestFit="1" customWidth="1"/>
    <col min="3" max="3" width="12.54296875" style="1" bestFit="1" customWidth="1"/>
    <col min="4" max="4" width="12.54296875" style="1" customWidth="1"/>
    <col min="5" max="5" width="18.1796875" style="1" bestFit="1" customWidth="1"/>
    <col min="6" max="6" width="7.81640625" style="1" customWidth="1"/>
    <col min="7" max="7" width="8.1796875" style="1" customWidth="1"/>
    <col min="8" max="8" width="15.453125" style="1" bestFit="1" customWidth="1"/>
    <col min="9" max="10" width="10.453125" style="1" customWidth="1"/>
    <col min="11" max="11" width="10.453125" style="10" customWidth="1"/>
    <col min="12" max="12" width="11.1796875" style="1" customWidth="1"/>
    <col min="13" max="13" width="11.453125" style="1" customWidth="1"/>
    <col min="14" max="14" width="15.453125" style="1" bestFit="1" customWidth="1"/>
    <col min="15" max="16" width="11.453125" style="1" customWidth="1"/>
    <col min="17" max="17" width="11.453125" style="10" customWidth="1"/>
    <col min="18" max="18" width="7.81640625" style="1" customWidth="1"/>
    <col min="19" max="19" width="8" style="1" customWidth="1"/>
    <col min="20" max="20" width="15.453125" style="1" bestFit="1" customWidth="1"/>
    <col min="21" max="21" width="5.81640625" style="1" bestFit="1" customWidth="1"/>
    <col min="22" max="22" width="10.453125" style="1" bestFit="1" customWidth="1"/>
    <col min="23" max="23" width="10.453125" style="10" customWidth="1"/>
    <col min="24" max="24" width="10.453125" style="1" customWidth="1"/>
    <col min="25" max="25" width="8.7265625" style="1"/>
    <col min="26" max="26" width="15.453125" style="1" bestFit="1" customWidth="1"/>
    <col min="27" max="27" width="8.7265625" style="1"/>
    <col min="28" max="28" width="10.453125" style="1" bestFit="1" customWidth="1"/>
    <col min="29" max="29" width="10.453125" style="10" customWidth="1"/>
    <col min="30" max="31" width="8.7265625" style="1"/>
    <col min="32" max="32" width="15.453125" style="1" bestFit="1" customWidth="1"/>
    <col min="33" max="33" width="5.81640625" style="1" bestFit="1" customWidth="1"/>
    <col min="34" max="34" width="10.453125" style="1" bestFit="1" customWidth="1"/>
    <col min="35" max="35" width="8.7265625" style="1"/>
    <col min="36" max="36" width="14.26953125" style="1" customWidth="1"/>
    <col min="37" max="37" width="15.453125" style="1" bestFit="1" customWidth="1"/>
    <col min="38" max="39" width="10.7265625" style="1" customWidth="1"/>
    <col min="40" max="40" width="5.81640625" style="1" customWidth="1"/>
    <col min="41" max="41" width="6.1796875" style="1" customWidth="1"/>
    <col min="42" max="42" width="15.453125" style="1" bestFit="1" customWidth="1"/>
    <col min="43" max="43" width="8.7265625" style="1"/>
    <col min="44" max="44" width="10.7265625" style="1" bestFit="1" customWidth="1"/>
    <col min="45" max="45" width="8.7265625" style="1" customWidth="1"/>
    <col min="46" max="46" width="9.453125" style="1" customWidth="1"/>
    <col min="47" max="47" width="15.453125" style="1" customWidth="1"/>
    <col min="48" max="48" width="8.7265625" style="1"/>
    <col min="49" max="49" width="10.7265625" style="1" bestFit="1" customWidth="1"/>
  </cols>
  <sheetData>
    <row r="1" spans="1:49" x14ac:dyDescent="0.35">
      <c r="A1" s="20" t="s">
        <v>0</v>
      </c>
      <c r="B1" s="20" t="s">
        <v>1</v>
      </c>
      <c r="C1" s="20" t="s">
        <v>2</v>
      </c>
      <c r="D1" s="20" t="s">
        <v>74</v>
      </c>
      <c r="E1" s="20" t="s">
        <v>3</v>
      </c>
      <c r="F1" s="22" t="s">
        <v>4</v>
      </c>
      <c r="G1" s="22"/>
      <c r="H1" s="20" t="s">
        <v>12</v>
      </c>
      <c r="I1" s="20" t="s">
        <v>13</v>
      </c>
      <c r="J1" s="20" t="s">
        <v>14</v>
      </c>
      <c r="K1" s="15" t="s">
        <v>88</v>
      </c>
      <c r="L1" s="22" t="s">
        <v>5</v>
      </c>
      <c r="M1" s="22"/>
      <c r="N1" s="20" t="s">
        <v>12</v>
      </c>
      <c r="O1" s="20" t="s">
        <v>13</v>
      </c>
      <c r="P1" s="20" t="s">
        <v>14</v>
      </c>
      <c r="Q1" s="15" t="s">
        <v>88</v>
      </c>
      <c r="R1" s="22" t="s">
        <v>6</v>
      </c>
      <c r="S1" s="22"/>
      <c r="T1" s="20" t="s">
        <v>12</v>
      </c>
      <c r="U1" s="20" t="s">
        <v>13</v>
      </c>
      <c r="V1" s="20" t="s">
        <v>14</v>
      </c>
      <c r="W1" s="15" t="s">
        <v>88</v>
      </c>
      <c r="X1" s="22" t="s">
        <v>7</v>
      </c>
      <c r="Y1" s="22"/>
      <c r="Z1" s="20" t="s">
        <v>12</v>
      </c>
      <c r="AA1" s="20" t="s">
        <v>13</v>
      </c>
      <c r="AB1" s="20" t="s">
        <v>14</v>
      </c>
      <c r="AC1" s="15" t="s">
        <v>88</v>
      </c>
      <c r="AD1" s="22" t="s">
        <v>8</v>
      </c>
      <c r="AE1" s="22"/>
      <c r="AF1" s="20" t="s">
        <v>12</v>
      </c>
      <c r="AG1" s="20" t="s">
        <v>13</v>
      </c>
      <c r="AH1" s="20" t="s">
        <v>14</v>
      </c>
      <c r="AI1" s="22" t="s">
        <v>9</v>
      </c>
      <c r="AJ1" s="22"/>
      <c r="AK1" s="20" t="s">
        <v>12</v>
      </c>
      <c r="AL1" s="20" t="s">
        <v>13</v>
      </c>
      <c r="AM1" s="20" t="s">
        <v>14</v>
      </c>
      <c r="AN1" s="22" t="s">
        <v>10</v>
      </c>
      <c r="AO1" s="22"/>
      <c r="AP1" s="20" t="s">
        <v>12</v>
      </c>
      <c r="AQ1" s="20" t="s">
        <v>13</v>
      </c>
      <c r="AR1" s="20" t="s">
        <v>14</v>
      </c>
      <c r="AS1" s="22" t="s">
        <v>11</v>
      </c>
      <c r="AT1" s="22"/>
      <c r="AU1" s="20" t="s">
        <v>12</v>
      </c>
      <c r="AV1" s="20" t="s">
        <v>13</v>
      </c>
      <c r="AW1" s="20" t="s">
        <v>14</v>
      </c>
    </row>
    <row r="2" spans="1:49" x14ac:dyDescent="0.35">
      <c r="A2" s="21"/>
      <c r="B2" s="21"/>
      <c r="C2" s="21"/>
      <c r="D2" s="21"/>
      <c r="E2" s="21"/>
      <c r="F2" s="5" t="s">
        <v>16</v>
      </c>
      <c r="G2" s="5" t="s">
        <v>17</v>
      </c>
      <c r="H2" s="21"/>
      <c r="I2" s="21"/>
      <c r="J2" s="21"/>
      <c r="K2" s="16" t="s">
        <v>89</v>
      </c>
      <c r="L2" s="2" t="s">
        <v>16</v>
      </c>
      <c r="M2" s="2" t="s">
        <v>17</v>
      </c>
      <c r="N2" s="21"/>
      <c r="O2" s="21"/>
      <c r="P2" s="21"/>
      <c r="Q2" s="16" t="s">
        <v>89</v>
      </c>
      <c r="R2" s="5" t="s">
        <v>16</v>
      </c>
      <c r="S2" s="5" t="s">
        <v>17</v>
      </c>
      <c r="T2" s="21"/>
      <c r="U2" s="21"/>
      <c r="V2" s="21"/>
      <c r="W2" s="16" t="s">
        <v>89</v>
      </c>
      <c r="X2" s="5" t="s">
        <v>16</v>
      </c>
      <c r="Y2" s="5" t="s">
        <v>17</v>
      </c>
      <c r="Z2" s="21"/>
      <c r="AA2" s="21"/>
      <c r="AB2" s="21"/>
      <c r="AC2" s="16" t="s">
        <v>89</v>
      </c>
      <c r="AD2" s="5" t="s">
        <v>16</v>
      </c>
      <c r="AE2" s="5" t="s">
        <v>17</v>
      </c>
      <c r="AF2" s="21"/>
      <c r="AG2" s="21"/>
      <c r="AH2" s="21"/>
      <c r="AI2" s="5" t="s">
        <v>16</v>
      </c>
      <c r="AJ2" s="5" t="s">
        <v>17</v>
      </c>
      <c r="AK2" s="21"/>
      <c r="AL2" s="21"/>
      <c r="AM2" s="21"/>
      <c r="AN2" s="2" t="s">
        <v>16</v>
      </c>
      <c r="AO2" s="2" t="s">
        <v>17</v>
      </c>
      <c r="AP2" s="21"/>
      <c r="AQ2" s="21"/>
      <c r="AR2" s="21"/>
      <c r="AS2" s="5" t="s">
        <v>16</v>
      </c>
      <c r="AT2" s="5" t="s">
        <v>17</v>
      </c>
      <c r="AU2" s="21"/>
      <c r="AV2" s="21"/>
      <c r="AW2" s="21"/>
    </row>
    <row r="3" spans="1:49" x14ac:dyDescent="0.35">
      <c r="A3" s="1">
        <v>1</v>
      </c>
      <c r="B3" s="1" t="s">
        <v>24</v>
      </c>
      <c r="C3" s="1">
        <v>50</v>
      </c>
      <c r="D3" s="5" t="s">
        <v>83</v>
      </c>
      <c r="E3" s="1">
        <v>30</v>
      </c>
      <c r="F3" s="1">
        <v>4</v>
      </c>
      <c r="G3" s="1">
        <v>4</v>
      </c>
      <c r="H3" s="1">
        <v>8</v>
      </c>
      <c r="I3" s="1">
        <f>SUM(F3+G3)</f>
        <v>8</v>
      </c>
      <c r="J3" s="7">
        <f>SUM(I3/2)</f>
        <v>4</v>
      </c>
      <c r="K3" s="17">
        <v>4</v>
      </c>
      <c r="L3" s="6">
        <v>3</v>
      </c>
      <c r="M3" s="1">
        <v>3</v>
      </c>
      <c r="N3" s="1">
        <v>8</v>
      </c>
      <c r="O3" s="1">
        <f>SUM(L3+M3)</f>
        <v>6</v>
      </c>
      <c r="P3" s="7">
        <f>SUM(O3/2)</f>
        <v>3</v>
      </c>
      <c r="Q3" s="13">
        <v>3</v>
      </c>
      <c r="R3" s="1">
        <v>3</v>
      </c>
      <c r="S3" s="1">
        <v>3</v>
      </c>
      <c r="T3" s="1">
        <v>8</v>
      </c>
      <c r="U3" s="1">
        <f>SUM(R3+S3)</f>
        <v>6</v>
      </c>
      <c r="V3" s="7">
        <f>SUM(U3/2)</f>
        <v>3</v>
      </c>
      <c r="W3" s="13">
        <v>3</v>
      </c>
      <c r="X3" s="1">
        <v>2</v>
      </c>
      <c r="Y3" s="1">
        <v>3</v>
      </c>
      <c r="Z3" s="1">
        <v>8</v>
      </c>
      <c r="AA3" s="1">
        <f>SUM(X3+Y3)</f>
        <v>5</v>
      </c>
      <c r="AB3" s="7">
        <f>SUM(AA3/2)</f>
        <v>2.5</v>
      </c>
      <c r="AC3" s="13">
        <v>3</v>
      </c>
      <c r="AD3" s="1">
        <v>3</v>
      </c>
      <c r="AE3" s="1">
        <v>3</v>
      </c>
      <c r="AF3" s="1">
        <v>8</v>
      </c>
      <c r="AG3" s="1">
        <f>SUM(AD3+AE3)</f>
        <v>6</v>
      </c>
      <c r="AH3" s="7">
        <f>SUM(AG3/2)</f>
        <v>3</v>
      </c>
      <c r="AI3" s="1">
        <v>2</v>
      </c>
      <c r="AJ3" s="1">
        <v>3</v>
      </c>
      <c r="AK3" s="1">
        <v>8</v>
      </c>
      <c r="AL3" s="1">
        <f>SUM(AI3+AJ3)</f>
        <v>5</v>
      </c>
      <c r="AM3" s="7">
        <f>SUM(AL3/2)</f>
        <v>2.5</v>
      </c>
      <c r="AN3" s="1">
        <v>3</v>
      </c>
      <c r="AO3" s="1">
        <v>2</v>
      </c>
      <c r="AP3" s="1">
        <v>8</v>
      </c>
      <c r="AQ3" s="1">
        <f>SUM(AN3+AO3)</f>
        <v>5</v>
      </c>
      <c r="AR3" s="7">
        <f>SUM(AQ3/2)</f>
        <v>2.5</v>
      </c>
      <c r="AS3" s="1">
        <v>2</v>
      </c>
      <c r="AT3" s="1">
        <v>2</v>
      </c>
      <c r="AU3" s="1">
        <v>8</v>
      </c>
      <c r="AV3" s="1">
        <f>SUM(AS3+AT3)</f>
        <v>4</v>
      </c>
      <c r="AW3" s="7">
        <f>SUM(AV3/2)</f>
        <v>2</v>
      </c>
    </row>
    <row r="4" spans="1:49" x14ac:dyDescent="0.35">
      <c r="A4" s="1">
        <v>2</v>
      </c>
      <c r="B4" s="1" t="s">
        <v>26</v>
      </c>
      <c r="C4" s="1">
        <v>61</v>
      </c>
      <c r="D4" s="5" t="s">
        <v>83</v>
      </c>
      <c r="E4" s="1">
        <v>10</v>
      </c>
      <c r="F4" s="1">
        <v>3</v>
      </c>
      <c r="G4" s="1">
        <v>3</v>
      </c>
      <c r="H4" s="1">
        <v>8</v>
      </c>
      <c r="I4" s="1">
        <f t="shared" ref="I4:I52" si="0">SUM(F4+G4)</f>
        <v>6</v>
      </c>
      <c r="J4" s="7">
        <f t="shared" ref="J4:J52" si="1">SUM(I4/2)</f>
        <v>3</v>
      </c>
      <c r="K4" s="13">
        <v>3</v>
      </c>
      <c r="L4" s="1">
        <v>3</v>
      </c>
      <c r="M4" s="1">
        <v>3</v>
      </c>
      <c r="N4" s="1">
        <v>8</v>
      </c>
      <c r="O4" s="1">
        <f t="shared" ref="O4:O52" si="2">SUM(L4+M4)</f>
        <v>6</v>
      </c>
      <c r="P4" s="7">
        <f t="shared" ref="P4:P52" si="3">SUM(O4/2)</f>
        <v>3</v>
      </c>
      <c r="Q4" s="13">
        <v>3</v>
      </c>
      <c r="R4" s="1">
        <v>4</v>
      </c>
      <c r="S4" s="1">
        <v>3</v>
      </c>
      <c r="T4" s="1">
        <v>8</v>
      </c>
      <c r="U4" s="1">
        <f t="shared" ref="U4:U52" si="4">SUM(R4+S4)</f>
        <v>7</v>
      </c>
      <c r="V4" s="7">
        <f t="shared" ref="V4:V52" si="5">SUM(U4/2)</f>
        <v>3.5</v>
      </c>
      <c r="W4" s="13">
        <v>4</v>
      </c>
      <c r="X4" s="1">
        <v>3</v>
      </c>
      <c r="Y4" s="1">
        <v>3</v>
      </c>
      <c r="Z4" s="1">
        <v>8</v>
      </c>
      <c r="AA4" s="1">
        <f t="shared" ref="AA4:AA52" si="6">SUM(X4+Y4)</f>
        <v>6</v>
      </c>
      <c r="AB4" s="7">
        <f t="shared" ref="AB4:AB52" si="7">SUM(AA4/2)</f>
        <v>3</v>
      </c>
      <c r="AC4" s="13">
        <v>3</v>
      </c>
      <c r="AD4" s="1">
        <v>3</v>
      </c>
      <c r="AE4" s="1">
        <v>3</v>
      </c>
      <c r="AF4" s="1">
        <v>8</v>
      </c>
      <c r="AG4" s="1">
        <f t="shared" ref="AG4:AG52" si="8">SUM(AD4+AE4)</f>
        <v>6</v>
      </c>
      <c r="AH4" s="7">
        <f t="shared" ref="AH4:AH52" si="9">SUM(AG4/2)</f>
        <v>3</v>
      </c>
      <c r="AI4" s="1">
        <v>2</v>
      </c>
      <c r="AJ4" s="1">
        <v>3</v>
      </c>
      <c r="AK4" s="1">
        <v>8</v>
      </c>
      <c r="AL4" s="1">
        <f t="shared" ref="AL4:AL52" si="10">SUM(AI4+AJ4)</f>
        <v>5</v>
      </c>
      <c r="AM4" s="7">
        <f t="shared" ref="AM4:AM52" si="11">SUM(AL4/2)</f>
        <v>2.5</v>
      </c>
      <c r="AN4" s="1">
        <v>2</v>
      </c>
      <c r="AO4" s="1">
        <v>2</v>
      </c>
      <c r="AP4" s="1">
        <v>8</v>
      </c>
      <c r="AQ4" s="1">
        <f t="shared" ref="AQ4:AQ52" si="12">SUM(AN4+AO4)</f>
        <v>4</v>
      </c>
      <c r="AR4" s="7">
        <f t="shared" ref="AR4:AR52" si="13">SUM(AQ4/2)</f>
        <v>2</v>
      </c>
      <c r="AS4" s="1">
        <v>3</v>
      </c>
      <c r="AT4" s="1">
        <v>3</v>
      </c>
      <c r="AU4" s="1">
        <v>8</v>
      </c>
      <c r="AV4" s="1">
        <f t="shared" ref="AV4:AV52" si="14">SUM(AS4+AT4)</f>
        <v>6</v>
      </c>
      <c r="AW4" s="7">
        <f t="shared" ref="AW4:AW52" si="15">SUM(AV4/2)</f>
        <v>3</v>
      </c>
    </row>
    <row r="5" spans="1:49" x14ac:dyDescent="0.35">
      <c r="A5" s="1">
        <v>3</v>
      </c>
      <c r="B5" s="1" t="s">
        <v>25</v>
      </c>
      <c r="C5" s="1">
        <v>40</v>
      </c>
      <c r="D5" s="5" t="s">
        <v>87</v>
      </c>
      <c r="E5" s="1">
        <v>6</v>
      </c>
      <c r="F5" s="1">
        <v>4</v>
      </c>
      <c r="G5" s="1">
        <v>4</v>
      </c>
      <c r="H5" s="1">
        <v>8</v>
      </c>
      <c r="I5" s="1">
        <f t="shared" si="0"/>
        <v>8</v>
      </c>
      <c r="J5" s="7">
        <f t="shared" si="1"/>
        <v>4</v>
      </c>
      <c r="K5" s="13">
        <v>4</v>
      </c>
      <c r="L5" s="1">
        <v>3</v>
      </c>
      <c r="M5" s="1">
        <v>3</v>
      </c>
      <c r="N5" s="1">
        <v>8</v>
      </c>
      <c r="O5" s="1">
        <f t="shared" si="2"/>
        <v>6</v>
      </c>
      <c r="P5" s="7">
        <f t="shared" si="3"/>
        <v>3</v>
      </c>
      <c r="Q5" s="13">
        <v>3</v>
      </c>
      <c r="R5" s="1">
        <v>3</v>
      </c>
      <c r="S5" s="1">
        <v>3</v>
      </c>
      <c r="T5" s="1">
        <v>8</v>
      </c>
      <c r="U5" s="1">
        <f t="shared" si="4"/>
        <v>6</v>
      </c>
      <c r="V5" s="7">
        <f t="shared" si="5"/>
        <v>3</v>
      </c>
      <c r="W5" s="13">
        <v>3</v>
      </c>
      <c r="X5" s="1">
        <v>2</v>
      </c>
      <c r="Y5" s="1">
        <v>3</v>
      </c>
      <c r="Z5" s="1">
        <v>8</v>
      </c>
      <c r="AA5" s="1">
        <f t="shared" si="6"/>
        <v>5</v>
      </c>
      <c r="AB5" s="7">
        <f t="shared" si="7"/>
        <v>2.5</v>
      </c>
      <c r="AC5" s="13">
        <v>3</v>
      </c>
      <c r="AD5" s="1">
        <v>3</v>
      </c>
      <c r="AE5" s="1">
        <v>4</v>
      </c>
      <c r="AF5" s="1">
        <v>8</v>
      </c>
      <c r="AG5" s="1">
        <f t="shared" si="8"/>
        <v>7</v>
      </c>
      <c r="AH5" s="7">
        <f t="shared" si="9"/>
        <v>3.5</v>
      </c>
      <c r="AI5" s="1">
        <v>3</v>
      </c>
      <c r="AJ5" s="1">
        <v>3</v>
      </c>
      <c r="AK5" s="1">
        <v>8</v>
      </c>
      <c r="AL5" s="1">
        <f t="shared" si="10"/>
        <v>6</v>
      </c>
      <c r="AM5" s="7">
        <f t="shared" si="11"/>
        <v>3</v>
      </c>
      <c r="AN5" s="1">
        <v>2</v>
      </c>
      <c r="AO5" s="1">
        <v>2</v>
      </c>
      <c r="AP5" s="1">
        <v>8</v>
      </c>
      <c r="AQ5" s="1">
        <f t="shared" si="12"/>
        <v>4</v>
      </c>
      <c r="AR5" s="7">
        <f t="shared" si="13"/>
        <v>2</v>
      </c>
      <c r="AS5" s="1">
        <v>3</v>
      </c>
      <c r="AT5" s="1">
        <v>3</v>
      </c>
      <c r="AU5" s="1">
        <v>8</v>
      </c>
      <c r="AV5" s="1">
        <f t="shared" si="14"/>
        <v>6</v>
      </c>
      <c r="AW5" s="7">
        <f t="shared" si="15"/>
        <v>3</v>
      </c>
    </row>
    <row r="6" spans="1:49" x14ac:dyDescent="0.35">
      <c r="A6" s="1">
        <v>4</v>
      </c>
      <c r="B6" s="1" t="s">
        <v>27</v>
      </c>
      <c r="C6" s="1">
        <v>26</v>
      </c>
      <c r="D6" s="5" t="s">
        <v>85</v>
      </c>
      <c r="E6" s="1">
        <v>2</v>
      </c>
      <c r="F6" s="1">
        <v>4</v>
      </c>
      <c r="G6" s="1">
        <v>4</v>
      </c>
      <c r="H6" s="1">
        <v>8</v>
      </c>
      <c r="I6" s="1">
        <f t="shared" si="0"/>
        <v>8</v>
      </c>
      <c r="J6" s="7">
        <f t="shared" si="1"/>
        <v>4</v>
      </c>
      <c r="K6" s="13">
        <v>4</v>
      </c>
      <c r="L6" s="1">
        <v>3</v>
      </c>
      <c r="M6" s="1">
        <v>3</v>
      </c>
      <c r="N6" s="1">
        <v>8</v>
      </c>
      <c r="O6" s="1">
        <f t="shared" si="2"/>
        <v>6</v>
      </c>
      <c r="P6" s="7">
        <f t="shared" si="3"/>
        <v>3</v>
      </c>
      <c r="Q6" s="13">
        <v>3</v>
      </c>
      <c r="R6" s="1">
        <v>3</v>
      </c>
      <c r="S6" s="1">
        <v>3</v>
      </c>
      <c r="T6" s="1">
        <v>8</v>
      </c>
      <c r="U6" s="1">
        <f t="shared" si="4"/>
        <v>6</v>
      </c>
      <c r="V6" s="7">
        <f t="shared" si="5"/>
        <v>3</v>
      </c>
      <c r="W6" s="13">
        <v>3</v>
      </c>
      <c r="X6" s="1">
        <v>4</v>
      </c>
      <c r="Y6" s="1">
        <v>3</v>
      </c>
      <c r="Z6" s="1">
        <v>8</v>
      </c>
      <c r="AA6" s="1">
        <f t="shared" si="6"/>
        <v>7</v>
      </c>
      <c r="AB6" s="7">
        <f t="shared" si="7"/>
        <v>3.5</v>
      </c>
      <c r="AC6" s="13">
        <v>4</v>
      </c>
      <c r="AD6" s="1">
        <v>4</v>
      </c>
      <c r="AE6" s="1">
        <v>3</v>
      </c>
      <c r="AF6" s="1">
        <v>8</v>
      </c>
      <c r="AG6" s="1">
        <f t="shared" si="8"/>
        <v>7</v>
      </c>
      <c r="AH6" s="7">
        <f t="shared" si="9"/>
        <v>3.5</v>
      </c>
      <c r="AI6" s="1">
        <v>3</v>
      </c>
      <c r="AJ6" s="1">
        <v>4</v>
      </c>
      <c r="AK6" s="1">
        <v>8</v>
      </c>
      <c r="AL6" s="1">
        <f t="shared" si="10"/>
        <v>7</v>
      </c>
      <c r="AM6" s="7">
        <f t="shared" si="11"/>
        <v>3.5</v>
      </c>
      <c r="AN6" s="1">
        <v>2</v>
      </c>
      <c r="AO6" s="1">
        <v>2</v>
      </c>
      <c r="AP6" s="1">
        <v>8</v>
      </c>
      <c r="AQ6" s="1">
        <f t="shared" si="12"/>
        <v>4</v>
      </c>
      <c r="AR6" s="7">
        <f t="shared" si="13"/>
        <v>2</v>
      </c>
      <c r="AS6" s="1">
        <v>3</v>
      </c>
      <c r="AT6" s="1">
        <v>2</v>
      </c>
      <c r="AU6" s="1">
        <v>8</v>
      </c>
      <c r="AV6" s="1">
        <f t="shared" si="14"/>
        <v>5</v>
      </c>
      <c r="AW6" s="7">
        <f t="shared" si="15"/>
        <v>2.5</v>
      </c>
    </row>
    <row r="7" spans="1:49" x14ac:dyDescent="0.35">
      <c r="A7" s="1">
        <v>5</v>
      </c>
      <c r="B7" s="1" t="s">
        <v>28</v>
      </c>
      <c r="C7" s="1">
        <v>55</v>
      </c>
      <c r="D7" s="5" t="s">
        <v>87</v>
      </c>
      <c r="E7" s="1">
        <v>10</v>
      </c>
      <c r="F7" s="1">
        <v>3</v>
      </c>
      <c r="G7" s="1">
        <v>3</v>
      </c>
      <c r="H7" s="1">
        <v>8</v>
      </c>
      <c r="I7" s="1">
        <f t="shared" si="0"/>
        <v>6</v>
      </c>
      <c r="J7" s="7">
        <f t="shared" si="1"/>
        <v>3</v>
      </c>
      <c r="K7" s="13">
        <v>3</v>
      </c>
      <c r="L7" s="1">
        <v>3</v>
      </c>
      <c r="M7" s="1">
        <v>3</v>
      </c>
      <c r="N7" s="1">
        <v>8</v>
      </c>
      <c r="O7" s="1">
        <f t="shared" si="2"/>
        <v>6</v>
      </c>
      <c r="P7" s="7">
        <f t="shared" si="3"/>
        <v>3</v>
      </c>
      <c r="Q7" s="13">
        <v>3</v>
      </c>
      <c r="R7" s="1">
        <v>3</v>
      </c>
      <c r="S7" s="1">
        <v>3</v>
      </c>
      <c r="T7" s="1">
        <v>8</v>
      </c>
      <c r="U7" s="1">
        <f t="shared" si="4"/>
        <v>6</v>
      </c>
      <c r="V7" s="7">
        <f t="shared" si="5"/>
        <v>3</v>
      </c>
      <c r="W7" s="13">
        <v>3</v>
      </c>
      <c r="X7" s="1">
        <v>2</v>
      </c>
      <c r="Y7" s="1">
        <v>2</v>
      </c>
      <c r="Z7" s="1">
        <v>8</v>
      </c>
      <c r="AA7" s="1">
        <f t="shared" si="6"/>
        <v>4</v>
      </c>
      <c r="AB7" s="7">
        <f t="shared" si="7"/>
        <v>2</v>
      </c>
      <c r="AC7" s="13">
        <v>2</v>
      </c>
      <c r="AD7" s="1">
        <v>3</v>
      </c>
      <c r="AE7" s="1">
        <v>3</v>
      </c>
      <c r="AF7" s="1">
        <v>8</v>
      </c>
      <c r="AG7" s="1">
        <f t="shared" si="8"/>
        <v>6</v>
      </c>
      <c r="AH7" s="7">
        <f t="shared" si="9"/>
        <v>3</v>
      </c>
      <c r="AI7" s="1">
        <v>2</v>
      </c>
      <c r="AJ7" s="1">
        <v>3</v>
      </c>
      <c r="AK7" s="1">
        <v>8</v>
      </c>
      <c r="AL7" s="1">
        <f t="shared" si="10"/>
        <v>5</v>
      </c>
      <c r="AM7" s="7">
        <f t="shared" si="11"/>
        <v>2.5</v>
      </c>
      <c r="AN7" s="1">
        <v>2</v>
      </c>
      <c r="AO7" s="1">
        <v>2</v>
      </c>
      <c r="AP7" s="1">
        <v>8</v>
      </c>
      <c r="AQ7" s="1">
        <f t="shared" si="12"/>
        <v>4</v>
      </c>
      <c r="AR7" s="7">
        <f t="shared" si="13"/>
        <v>2</v>
      </c>
      <c r="AS7" s="1">
        <v>2</v>
      </c>
      <c r="AT7" s="1">
        <v>2</v>
      </c>
      <c r="AU7" s="1">
        <v>8</v>
      </c>
      <c r="AV7" s="1">
        <f t="shared" si="14"/>
        <v>4</v>
      </c>
      <c r="AW7" s="7">
        <f t="shared" si="15"/>
        <v>2</v>
      </c>
    </row>
    <row r="8" spans="1:49" x14ac:dyDescent="0.35">
      <c r="A8" s="1">
        <v>6</v>
      </c>
      <c r="B8" s="1" t="s">
        <v>29</v>
      </c>
      <c r="C8" s="1">
        <v>40</v>
      </c>
      <c r="D8" s="5" t="s">
        <v>87</v>
      </c>
      <c r="E8" s="1">
        <v>20</v>
      </c>
      <c r="F8" s="1">
        <v>3</v>
      </c>
      <c r="G8" s="1">
        <v>3</v>
      </c>
      <c r="H8" s="1">
        <v>8</v>
      </c>
      <c r="I8" s="1">
        <f t="shared" si="0"/>
        <v>6</v>
      </c>
      <c r="J8" s="7">
        <f t="shared" si="1"/>
        <v>3</v>
      </c>
      <c r="K8" s="13">
        <v>3</v>
      </c>
      <c r="L8" s="1">
        <v>3</v>
      </c>
      <c r="M8" s="1">
        <v>3</v>
      </c>
      <c r="N8" s="1">
        <v>8</v>
      </c>
      <c r="O8" s="1">
        <f t="shared" si="2"/>
        <v>6</v>
      </c>
      <c r="P8" s="7">
        <f t="shared" si="3"/>
        <v>3</v>
      </c>
      <c r="Q8" s="13">
        <v>3</v>
      </c>
      <c r="R8" s="1">
        <v>3</v>
      </c>
      <c r="S8" s="1">
        <v>3</v>
      </c>
      <c r="T8" s="1">
        <v>8</v>
      </c>
      <c r="U8" s="1">
        <f t="shared" si="4"/>
        <v>6</v>
      </c>
      <c r="V8" s="7">
        <f t="shared" si="5"/>
        <v>3</v>
      </c>
      <c r="W8" s="13">
        <v>3</v>
      </c>
      <c r="X8" s="1">
        <v>2</v>
      </c>
      <c r="Y8" s="1">
        <v>2</v>
      </c>
      <c r="Z8" s="1">
        <v>8</v>
      </c>
      <c r="AA8" s="1">
        <f t="shared" si="6"/>
        <v>4</v>
      </c>
      <c r="AB8" s="7">
        <f t="shared" si="7"/>
        <v>2</v>
      </c>
      <c r="AC8" s="13">
        <v>2</v>
      </c>
      <c r="AD8" s="1">
        <v>4</v>
      </c>
      <c r="AE8" s="1">
        <v>4</v>
      </c>
      <c r="AF8" s="1">
        <v>8</v>
      </c>
      <c r="AG8" s="1">
        <f t="shared" si="8"/>
        <v>8</v>
      </c>
      <c r="AH8" s="7">
        <f t="shared" si="9"/>
        <v>4</v>
      </c>
      <c r="AI8" s="1">
        <v>2</v>
      </c>
      <c r="AJ8" s="1">
        <v>3</v>
      </c>
      <c r="AK8" s="1">
        <v>8</v>
      </c>
      <c r="AL8" s="1">
        <f t="shared" si="10"/>
        <v>5</v>
      </c>
      <c r="AM8" s="7">
        <f t="shared" si="11"/>
        <v>2.5</v>
      </c>
      <c r="AN8" s="1">
        <v>1</v>
      </c>
      <c r="AO8" s="1">
        <v>2</v>
      </c>
      <c r="AP8" s="1">
        <v>8</v>
      </c>
      <c r="AQ8" s="1">
        <f t="shared" si="12"/>
        <v>3</v>
      </c>
      <c r="AR8" s="7">
        <f t="shared" si="13"/>
        <v>1.5</v>
      </c>
      <c r="AS8" s="1">
        <v>2</v>
      </c>
      <c r="AT8" s="1">
        <v>2</v>
      </c>
      <c r="AU8" s="1">
        <v>8</v>
      </c>
      <c r="AV8" s="1">
        <f t="shared" si="14"/>
        <v>4</v>
      </c>
      <c r="AW8" s="7">
        <f t="shared" si="15"/>
        <v>2</v>
      </c>
    </row>
    <row r="9" spans="1:49" x14ac:dyDescent="0.35">
      <c r="A9" s="1">
        <v>7</v>
      </c>
      <c r="B9" s="1" t="s">
        <v>30</v>
      </c>
      <c r="C9" s="1">
        <v>35</v>
      </c>
      <c r="D9" s="5" t="s">
        <v>87</v>
      </c>
      <c r="E9" s="1">
        <v>20</v>
      </c>
      <c r="F9" s="1">
        <v>3</v>
      </c>
      <c r="G9" s="1">
        <v>4</v>
      </c>
      <c r="H9" s="1">
        <v>8</v>
      </c>
      <c r="I9" s="1">
        <f t="shared" si="0"/>
        <v>7</v>
      </c>
      <c r="J9" s="7">
        <f t="shared" si="1"/>
        <v>3.5</v>
      </c>
      <c r="K9" s="13">
        <v>4</v>
      </c>
      <c r="L9" s="1">
        <v>3</v>
      </c>
      <c r="M9" s="1">
        <v>3</v>
      </c>
      <c r="N9" s="1">
        <v>8</v>
      </c>
      <c r="O9" s="1">
        <f t="shared" si="2"/>
        <v>6</v>
      </c>
      <c r="P9" s="7">
        <f t="shared" si="3"/>
        <v>3</v>
      </c>
      <c r="Q9" s="13">
        <v>3</v>
      </c>
      <c r="R9" s="1">
        <v>3</v>
      </c>
      <c r="S9" s="1">
        <v>3</v>
      </c>
      <c r="T9" s="1">
        <v>8</v>
      </c>
      <c r="U9" s="1">
        <f t="shared" si="4"/>
        <v>6</v>
      </c>
      <c r="V9" s="7">
        <f t="shared" si="5"/>
        <v>3</v>
      </c>
      <c r="W9" s="13">
        <v>3</v>
      </c>
      <c r="X9" s="1">
        <v>1</v>
      </c>
      <c r="Y9" s="1">
        <v>1</v>
      </c>
      <c r="Z9" s="1">
        <v>8</v>
      </c>
      <c r="AA9" s="1">
        <f t="shared" si="6"/>
        <v>2</v>
      </c>
      <c r="AB9" s="7">
        <f t="shared" si="7"/>
        <v>1</v>
      </c>
      <c r="AC9" s="13">
        <v>1</v>
      </c>
      <c r="AD9" s="1">
        <v>3</v>
      </c>
      <c r="AE9" s="1">
        <v>3</v>
      </c>
      <c r="AF9" s="1">
        <v>8</v>
      </c>
      <c r="AG9" s="1">
        <f t="shared" si="8"/>
        <v>6</v>
      </c>
      <c r="AH9" s="7">
        <f t="shared" si="9"/>
        <v>3</v>
      </c>
      <c r="AI9" s="1">
        <v>2</v>
      </c>
      <c r="AJ9" s="1">
        <v>3</v>
      </c>
      <c r="AK9" s="1">
        <v>8</v>
      </c>
      <c r="AL9" s="1">
        <f t="shared" si="10"/>
        <v>5</v>
      </c>
      <c r="AM9" s="7">
        <f t="shared" si="11"/>
        <v>2.5</v>
      </c>
      <c r="AN9" s="1">
        <v>2</v>
      </c>
      <c r="AO9" s="1">
        <v>2</v>
      </c>
      <c r="AP9" s="1">
        <v>8</v>
      </c>
      <c r="AQ9" s="1">
        <f t="shared" si="12"/>
        <v>4</v>
      </c>
      <c r="AR9" s="7">
        <f t="shared" si="13"/>
        <v>2</v>
      </c>
      <c r="AS9" s="1">
        <v>2</v>
      </c>
      <c r="AT9" s="1">
        <v>2</v>
      </c>
      <c r="AU9" s="1">
        <v>8</v>
      </c>
      <c r="AV9" s="1">
        <f t="shared" si="14"/>
        <v>4</v>
      </c>
      <c r="AW9" s="7">
        <f t="shared" si="15"/>
        <v>2</v>
      </c>
    </row>
    <row r="10" spans="1:49" x14ac:dyDescent="0.35">
      <c r="A10" s="1">
        <v>8</v>
      </c>
      <c r="B10" s="1" t="s">
        <v>31</v>
      </c>
      <c r="C10" s="1">
        <v>25</v>
      </c>
      <c r="D10" s="5" t="s">
        <v>85</v>
      </c>
      <c r="E10" s="1">
        <v>10</v>
      </c>
      <c r="F10" s="1">
        <v>3</v>
      </c>
      <c r="G10" s="1">
        <v>4</v>
      </c>
      <c r="H10" s="1">
        <v>8</v>
      </c>
      <c r="I10" s="1">
        <f t="shared" si="0"/>
        <v>7</v>
      </c>
      <c r="J10" s="7">
        <f t="shared" si="1"/>
        <v>3.5</v>
      </c>
      <c r="K10" s="13">
        <v>4</v>
      </c>
      <c r="L10" s="1">
        <v>3</v>
      </c>
      <c r="M10" s="1">
        <v>3</v>
      </c>
      <c r="N10" s="1">
        <v>8</v>
      </c>
      <c r="O10" s="1">
        <f t="shared" si="2"/>
        <v>6</v>
      </c>
      <c r="P10" s="7">
        <f t="shared" si="3"/>
        <v>3</v>
      </c>
      <c r="Q10" s="13">
        <v>3</v>
      </c>
      <c r="R10" s="1">
        <v>4</v>
      </c>
      <c r="S10" s="1">
        <v>3</v>
      </c>
      <c r="T10" s="1">
        <v>8</v>
      </c>
      <c r="U10" s="1">
        <f t="shared" si="4"/>
        <v>7</v>
      </c>
      <c r="V10" s="7">
        <f t="shared" si="5"/>
        <v>3.5</v>
      </c>
      <c r="W10" s="13">
        <v>4</v>
      </c>
      <c r="X10" s="1">
        <v>3</v>
      </c>
      <c r="Y10" s="1">
        <v>3</v>
      </c>
      <c r="Z10" s="1">
        <v>8</v>
      </c>
      <c r="AA10" s="1">
        <f t="shared" si="6"/>
        <v>6</v>
      </c>
      <c r="AB10" s="7">
        <f t="shared" si="7"/>
        <v>3</v>
      </c>
      <c r="AC10" s="13">
        <v>3</v>
      </c>
      <c r="AD10" s="1">
        <v>3</v>
      </c>
      <c r="AE10" s="1">
        <v>3</v>
      </c>
      <c r="AF10" s="1">
        <v>8</v>
      </c>
      <c r="AG10" s="1">
        <f t="shared" si="8"/>
        <v>6</v>
      </c>
      <c r="AH10" s="7">
        <f t="shared" si="9"/>
        <v>3</v>
      </c>
      <c r="AI10" s="1">
        <v>3</v>
      </c>
      <c r="AJ10" s="1">
        <v>3</v>
      </c>
      <c r="AK10" s="1">
        <v>8</v>
      </c>
      <c r="AL10" s="1">
        <f t="shared" si="10"/>
        <v>6</v>
      </c>
      <c r="AM10" s="7">
        <f t="shared" si="11"/>
        <v>3</v>
      </c>
      <c r="AN10" s="1">
        <v>2</v>
      </c>
      <c r="AO10" s="1">
        <v>2</v>
      </c>
      <c r="AP10" s="1">
        <v>8</v>
      </c>
      <c r="AQ10" s="1">
        <f t="shared" si="12"/>
        <v>4</v>
      </c>
      <c r="AR10" s="7">
        <f t="shared" si="13"/>
        <v>2</v>
      </c>
      <c r="AS10" s="1">
        <v>3</v>
      </c>
      <c r="AT10" s="1">
        <v>3</v>
      </c>
      <c r="AU10" s="1">
        <v>8</v>
      </c>
      <c r="AV10" s="1">
        <f t="shared" si="14"/>
        <v>6</v>
      </c>
      <c r="AW10" s="7">
        <f t="shared" si="15"/>
        <v>3</v>
      </c>
    </row>
    <row r="11" spans="1:49" x14ac:dyDescent="0.35">
      <c r="A11" s="1">
        <v>9</v>
      </c>
      <c r="B11" s="1" t="s">
        <v>32</v>
      </c>
      <c r="C11" s="1">
        <v>37</v>
      </c>
      <c r="D11" s="5" t="s">
        <v>87</v>
      </c>
      <c r="E11" s="1">
        <v>15</v>
      </c>
      <c r="F11" s="1">
        <v>3</v>
      </c>
      <c r="G11" s="1">
        <v>3</v>
      </c>
      <c r="H11" s="1">
        <v>8</v>
      </c>
      <c r="I11" s="1">
        <f t="shared" si="0"/>
        <v>6</v>
      </c>
      <c r="J11" s="7">
        <f t="shared" si="1"/>
        <v>3</v>
      </c>
      <c r="K11" s="13">
        <v>3</v>
      </c>
      <c r="L11" s="1">
        <v>2</v>
      </c>
      <c r="M11" s="1">
        <v>3</v>
      </c>
      <c r="N11" s="1">
        <v>8</v>
      </c>
      <c r="O11" s="1">
        <f t="shared" si="2"/>
        <v>5</v>
      </c>
      <c r="P11" s="7">
        <f t="shared" si="3"/>
        <v>2.5</v>
      </c>
      <c r="Q11" s="13">
        <v>3</v>
      </c>
      <c r="R11" s="1">
        <v>3</v>
      </c>
      <c r="S11" s="1">
        <v>3</v>
      </c>
      <c r="T11" s="1">
        <v>8</v>
      </c>
      <c r="U11" s="1">
        <f t="shared" si="4"/>
        <v>6</v>
      </c>
      <c r="V11" s="7">
        <f t="shared" si="5"/>
        <v>3</v>
      </c>
      <c r="W11" s="13">
        <v>3</v>
      </c>
      <c r="X11" s="1">
        <v>2</v>
      </c>
      <c r="Y11" s="1">
        <v>3</v>
      </c>
      <c r="Z11" s="1">
        <v>8</v>
      </c>
      <c r="AA11" s="1">
        <f t="shared" si="6"/>
        <v>5</v>
      </c>
      <c r="AB11" s="7">
        <f t="shared" si="7"/>
        <v>2.5</v>
      </c>
      <c r="AC11" s="13">
        <v>3</v>
      </c>
      <c r="AD11" s="1">
        <v>3</v>
      </c>
      <c r="AE11" s="1">
        <v>3</v>
      </c>
      <c r="AF11" s="1">
        <v>8</v>
      </c>
      <c r="AG11" s="1">
        <f t="shared" si="8"/>
        <v>6</v>
      </c>
      <c r="AH11" s="7">
        <f t="shared" si="9"/>
        <v>3</v>
      </c>
      <c r="AI11" s="1">
        <v>2</v>
      </c>
      <c r="AJ11" s="1">
        <v>3</v>
      </c>
      <c r="AK11" s="1">
        <v>8</v>
      </c>
      <c r="AL11" s="1">
        <f t="shared" si="10"/>
        <v>5</v>
      </c>
      <c r="AM11" s="7">
        <f t="shared" si="11"/>
        <v>2.5</v>
      </c>
      <c r="AN11" s="1">
        <v>2</v>
      </c>
      <c r="AO11" s="1">
        <v>2</v>
      </c>
      <c r="AP11" s="1">
        <v>8</v>
      </c>
      <c r="AQ11" s="1">
        <f t="shared" si="12"/>
        <v>4</v>
      </c>
      <c r="AR11" s="7">
        <f t="shared" si="13"/>
        <v>2</v>
      </c>
      <c r="AS11" s="1">
        <v>2</v>
      </c>
      <c r="AT11" s="1">
        <v>1</v>
      </c>
      <c r="AU11" s="1">
        <v>8</v>
      </c>
      <c r="AV11" s="1">
        <f t="shared" si="14"/>
        <v>3</v>
      </c>
      <c r="AW11" s="7">
        <f t="shared" si="15"/>
        <v>1.5</v>
      </c>
    </row>
    <row r="12" spans="1:49" x14ac:dyDescent="0.35">
      <c r="A12" s="1">
        <v>10</v>
      </c>
      <c r="B12" s="1" t="s">
        <v>33</v>
      </c>
      <c r="C12" s="1">
        <v>43</v>
      </c>
      <c r="D12" s="5" t="s">
        <v>87</v>
      </c>
      <c r="E12" s="1">
        <v>18</v>
      </c>
      <c r="F12" s="1">
        <v>3</v>
      </c>
      <c r="G12" s="1">
        <v>4</v>
      </c>
      <c r="H12" s="1">
        <v>8</v>
      </c>
      <c r="I12" s="1">
        <f t="shared" si="0"/>
        <v>7</v>
      </c>
      <c r="J12" s="7">
        <f t="shared" si="1"/>
        <v>3.5</v>
      </c>
      <c r="K12" s="13">
        <v>4</v>
      </c>
      <c r="L12" s="1">
        <v>3</v>
      </c>
      <c r="M12" s="1">
        <v>3</v>
      </c>
      <c r="N12" s="1">
        <v>8</v>
      </c>
      <c r="O12" s="1">
        <f t="shared" si="2"/>
        <v>6</v>
      </c>
      <c r="P12" s="7">
        <f t="shared" si="3"/>
        <v>3</v>
      </c>
      <c r="Q12" s="13">
        <v>3</v>
      </c>
      <c r="R12" s="1">
        <v>3</v>
      </c>
      <c r="S12" s="1">
        <v>3</v>
      </c>
      <c r="T12" s="1">
        <v>8</v>
      </c>
      <c r="U12" s="1">
        <f t="shared" si="4"/>
        <v>6</v>
      </c>
      <c r="V12" s="7">
        <f t="shared" si="5"/>
        <v>3</v>
      </c>
      <c r="W12" s="13">
        <v>3</v>
      </c>
      <c r="X12" s="1">
        <v>2</v>
      </c>
      <c r="Y12" s="1">
        <v>2</v>
      </c>
      <c r="Z12" s="1">
        <v>8</v>
      </c>
      <c r="AA12" s="1">
        <f t="shared" si="6"/>
        <v>4</v>
      </c>
      <c r="AB12" s="7">
        <f t="shared" si="7"/>
        <v>2</v>
      </c>
      <c r="AC12" s="13">
        <v>2</v>
      </c>
      <c r="AD12" s="1">
        <v>3</v>
      </c>
      <c r="AE12" s="1">
        <v>4</v>
      </c>
      <c r="AF12" s="1">
        <v>8</v>
      </c>
      <c r="AG12" s="1">
        <f t="shared" si="8"/>
        <v>7</v>
      </c>
      <c r="AH12" s="7">
        <f t="shared" si="9"/>
        <v>3.5</v>
      </c>
      <c r="AI12" s="1">
        <v>1</v>
      </c>
      <c r="AJ12" s="1">
        <v>2</v>
      </c>
      <c r="AK12" s="1">
        <v>8</v>
      </c>
      <c r="AL12" s="1">
        <f t="shared" si="10"/>
        <v>3</v>
      </c>
      <c r="AM12" s="7">
        <f t="shared" si="11"/>
        <v>1.5</v>
      </c>
      <c r="AN12" s="1">
        <v>2</v>
      </c>
      <c r="AO12" s="1">
        <v>2</v>
      </c>
      <c r="AP12" s="1">
        <v>8</v>
      </c>
      <c r="AQ12" s="1">
        <f t="shared" si="12"/>
        <v>4</v>
      </c>
      <c r="AR12" s="7">
        <f t="shared" si="13"/>
        <v>2</v>
      </c>
      <c r="AS12" s="1">
        <v>2</v>
      </c>
      <c r="AT12" s="1">
        <v>2</v>
      </c>
      <c r="AU12" s="1">
        <v>8</v>
      </c>
      <c r="AV12" s="1">
        <f t="shared" si="14"/>
        <v>4</v>
      </c>
      <c r="AW12" s="7">
        <f t="shared" si="15"/>
        <v>2</v>
      </c>
    </row>
    <row r="13" spans="1:49" x14ac:dyDescent="0.35">
      <c r="A13" s="1">
        <v>11</v>
      </c>
      <c r="B13" s="1" t="s">
        <v>34</v>
      </c>
      <c r="C13" s="1">
        <v>37</v>
      </c>
      <c r="D13" s="5" t="s">
        <v>87</v>
      </c>
      <c r="E13" s="1">
        <v>12</v>
      </c>
      <c r="F13" s="1">
        <v>4</v>
      </c>
      <c r="G13" s="1">
        <v>3</v>
      </c>
      <c r="H13" s="1">
        <v>8</v>
      </c>
      <c r="I13" s="1">
        <f t="shared" si="0"/>
        <v>7</v>
      </c>
      <c r="J13" s="7">
        <f t="shared" si="1"/>
        <v>3.5</v>
      </c>
      <c r="K13" s="13">
        <v>4</v>
      </c>
      <c r="L13" s="1">
        <v>3</v>
      </c>
      <c r="M13" s="1">
        <v>3</v>
      </c>
      <c r="N13" s="1">
        <v>8</v>
      </c>
      <c r="O13" s="1">
        <f t="shared" si="2"/>
        <v>6</v>
      </c>
      <c r="P13" s="7">
        <f t="shared" si="3"/>
        <v>3</v>
      </c>
      <c r="Q13" s="13">
        <v>3</v>
      </c>
      <c r="R13" s="1">
        <v>3</v>
      </c>
      <c r="S13" s="1">
        <v>3</v>
      </c>
      <c r="T13" s="1">
        <v>8</v>
      </c>
      <c r="U13" s="1">
        <f t="shared" si="4"/>
        <v>6</v>
      </c>
      <c r="V13" s="7">
        <f t="shared" si="5"/>
        <v>3</v>
      </c>
      <c r="W13" s="13">
        <v>3</v>
      </c>
      <c r="X13" s="1">
        <v>2</v>
      </c>
      <c r="Y13" s="1">
        <v>3</v>
      </c>
      <c r="Z13" s="1">
        <v>8</v>
      </c>
      <c r="AA13" s="1">
        <f t="shared" si="6"/>
        <v>5</v>
      </c>
      <c r="AB13" s="7">
        <f t="shared" si="7"/>
        <v>2.5</v>
      </c>
      <c r="AC13" s="13">
        <v>3</v>
      </c>
      <c r="AD13" s="1">
        <v>4</v>
      </c>
      <c r="AE13" s="1">
        <v>3</v>
      </c>
      <c r="AF13" s="1">
        <v>8</v>
      </c>
      <c r="AG13" s="1">
        <f t="shared" si="8"/>
        <v>7</v>
      </c>
      <c r="AH13" s="7">
        <f t="shared" si="9"/>
        <v>3.5</v>
      </c>
      <c r="AI13" s="1">
        <v>2</v>
      </c>
      <c r="AJ13" s="1">
        <v>2</v>
      </c>
      <c r="AK13" s="1">
        <v>8</v>
      </c>
      <c r="AL13" s="1">
        <f t="shared" si="10"/>
        <v>4</v>
      </c>
      <c r="AM13" s="7">
        <f t="shared" si="11"/>
        <v>2</v>
      </c>
      <c r="AN13" s="1">
        <v>2</v>
      </c>
      <c r="AO13" s="1">
        <v>2</v>
      </c>
      <c r="AP13" s="1">
        <v>8</v>
      </c>
      <c r="AQ13" s="1">
        <f t="shared" si="12"/>
        <v>4</v>
      </c>
      <c r="AR13" s="7">
        <f t="shared" si="13"/>
        <v>2</v>
      </c>
      <c r="AS13" s="1">
        <v>2</v>
      </c>
      <c r="AT13" s="1">
        <v>2</v>
      </c>
      <c r="AU13" s="1">
        <v>8</v>
      </c>
      <c r="AV13" s="1">
        <f t="shared" si="14"/>
        <v>4</v>
      </c>
      <c r="AW13" s="7">
        <f t="shared" si="15"/>
        <v>2</v>
      </c>
    </row>
    <row r="14" spans="1:49" x14ac:dyDescent="0.35">
      <c r="A14" s="1">
        <v>12</v>
      </c>
      <c r="B14" s="1" t="s">
        <v>35</v>
      </c>
      <c r="C14" s="1">
        <v>37</v>
      </c>
      <c r="D14" s="5" t="s">
        <v>86</v>
      </c>
      <c r="E14" s="1">
        <v>4</v>
      </c>
      <c r="F14" s="1">
        <v>4</v>
      </c>
      <c r="G14" s="1">
        <v>4</v>
      </c>
      <c r="H14" s="1">
        <v>8</v>
      </c>
      <c r="I14" s="1">
        <f t="shared" si="0"/>
        <v>8</v>
      </c>
      <c r="J14" s="7">
        <f t="shared" si="1"/>
        <v>4</v>
      </c>
      <c r="K14" s="13">
        <v>4</v>
      </c>
      <c r="L14" s="1">
        <v>2</v>
      </c>
      <c r="M14" s="1">
        <v>3</v>
      </c>
      <c r="N14" s="1">
        <v>8</v>
      </c>
      <c r="O14" s="1">
        <f t="shared" si="2"/>
        <v>5</v>
      </c>
      <c r="P14" s="7">
        <f t="shared" si="3"/>
        <v>2.5</v>
      </c>
      <c r="Q14" s="13">
        <v>3</v>
      </c>
      <c r="R14" s="1">
        <v>4</v>
      </c>
      <c r="S14" s="1">
        <v>3</v>
      </c>
      <c r="T14" s="1">
        <v>8</v>
      </c>
      <c r="U14" s="1">
        <f t="shared" si="4"/>
        <v>7</v>
      </c>
      <c r="V14" s="7">
        <f t="shared" si="5"/>
        <v>3.5</v>
      </c>
      <c r="W14" s="13">
        <v>4</v>
      </c>
      <c r="X14" s="1">
        <v>3</v>
      </c>
      <c r="Y14" s="1">
        <v>3</v>
      </c>
      <c r="Z14" s="1">
        <v>8</v>
      </c>
      <c r="AA14" s="1">
        <f t="shared" si="6"/>
        <v>6</v>
      </c>
      <c r="AB14" s="7">
        <f t="shared" si="7"/>
        <v>3</v>
      </c>
      <c r="AC14" s="13">
        <v>3</v>
      </c>
      <c r="AD14" s="1">
        <v>4</v>
      </c>
      <c r="AE14" s="1">
        <v>4</v>
      </c>
      <c r="AF14" s="1">
        <v>8</v>
      </c>
      <c r="AG14" s="1">
        <f t="shared" si="8"/>
        <v>8</v>
      </c>
      <c r="AH14" s="7">
        <f t="shared" si="9"/>
        <v>4</v>
      </c>
      <c r="AI14" s="1">
        <v>3</v>
      </c>
      <c r="AJ14" s="1">
        <v>4</v>
      </c>
      <c r="AK14" s="1">
        <v>8</v>
      </c>
      <c r="AL14" s="1">
        <f t="shared" si="10"/>
        <v>7</v>
      </c>
      <c r="AM14" s="7">
        <f t="shared" si="11"/>
        <v>3.5</v>
      </c>
      <c r="AN14" s="1">
        <v>4</v>
      </c>
      <c r="AO14" s="1">
        <v>2</v>
      </c>
      <c r="AP14" s="1">
        <v>8</v>
      </c>
      <c r="AQ14" s="1">
        <f t="shared" si="12"/>
        <v>6</v>
      </c>
      <c r="AR14" s="7">
        <f t="shared" si="13"/>
        <v>3</v>
      </c>
      <c r="AS14" s="1">
        <v>3</v>
      </c>
      <c r="AT14" s="1">
        <v>4</v>
      </c>
      <c r="AU14" s="1">
        <v>8</v>
      </c>
      <c r="AV14" s="1">
        <f t="shared" si="14"/>
        <v>7</v>
      </c>
      <c r="AW14" s="7">
        <f t="shared" si="15"/>
        <v>3.5</v>
      </c>
    </row>
    <row r="15" spans="1:49" x14ac:dyDescent="0.35">
      <c r="A15" s="1">
        <v>13</v>
      </c>
      <c r="B15" s="1" t="s">
        <v>36</v>
      </c>
      <c r="C15" s="1">
        <v>57</v>
      </c>
      <c r="D15" s="5" t="s">
        <v>87</v>
      </c>
      <c r="E15" s="1">
        <v>20</v>
      </c>
      <c r="F15" s="1">
        <v>3</v>
      </c>
      <c r="G15" s="1">
        <v>4</v>
      </c>
      <c r="H15" s="1">
        <v>8</v>
      </c>
      <c r="I15" s="1">
        <f t="shared" si="0"/>
        <v>7</v>
      </c>
      <c r="J15" s="7">
        <f t="shared" si="1"/>
        <v>3.5</v>
      </c>
      <c r="K15" s="13">
        <v>4</v>
      </c>
      <c r="L15" s="1">
        <v>2</v>
      </c>
      <c r="M15" s="1">
        <v>2</v>
      </c>
      <c r="N15" s="1">
        <v>8</v>
      </c>
      <c r="O15" s="1">
        <f t="shared" si="2"/>
        <v>4</v>
      </c>
      <c r="P15" s="7">
        <f t="shared" si="3"/>
        <v>2</v>
      </c>
      <c r="Q15" s="13">
        <v>2</v>
      </c>
      <c r="R15" s="1">
        <v>3</v>
      </c>
      <c r="S15" s="1">
        <v>3</v>
      </c>
      <c r="T15" s="1">
        <v>8</v>
      </c>
      <c r="U15" s="1">
        <f t="shared" si="4"/>
        <v>6</v>
      </c>
      <c r="V15" s="7">
        <f t="shared" si="5"/>
        <v>3</v>
      </c>
      <c r="W15" s="13">
        <v>3</v>
      </c>
      <c r="X15" s="1">
        <v>2</v>
      </c>
      <c r="Y15" s="1">
        <v>2</v>
      </c>
      <c r="Z15" s="1">
        <v>8</v>
      </c>
      <c r="AA15" s="1">
        <f t="shared" si="6"/>
        <v>4</v>
      </c>
      <c r="AB15" s="7">
        <f t="shared" si="7"/>
        <v>2</v>
      </c>
      <c r="AC15" s="13">
        <v>2</v>
      </c>
      <c r="AD15" s="1">
        <v>3</v>
      </c>
      <c r="AE15" s="1">
        <v>2</v>
      </c>
      <c r="AF15" s="1">
        <v>8</v>
      </c>
      <c r="AG15" s="1">
        <f t="shared" si="8"/>
        <v>5</v>
      </c>
      <c r="AH15" s="7">
        <f t="shared" si="9"/>
        <v>2.5</v>
      </c>
      <c r="AI15" s="1">
        <v>2</v>
      </c>
      <c r="AJ15" s="1">
        <v>2</v>
      </c>
      <c r="AK15" s="1">
        <v>8</v>
      </c>
      <c r="AL15" s="1">
        <f t="shared" si="10"/>
        <v>4</v>
      </c>
      <c r="AM15" s="7">
        <f t="shared" si="11"/>
        <v>2</v>
      </c>
      <c r="AN15" s="1">
        <v>3</v>
      </c>
      <c r="AO15" s="1">
        <v>2</v>
      </c>
      <c r="AP15" s="1">
        <v>8</v>
      </c>
      <c r="AQ15" s="1">
        <f t="shared" si="12"/>
        <v>5</v>
      </c>
      <c r="AR15" s="7">
        <f t="shared" si="13"/>
        <v>2.5</v>
      </c>
      <c r="AS15" s="1">
        <v>2</v>
      </c>
      <c r="AT15" s="1">
        <v>1</v>
      </c>
      <c r="AU15" s="1">
        <v>8</v>
      </c>
      <c r="AV15" s="1">
        <f t="shared" si="14"/>
        <v>3</v>
      </c>
      <c r="AW15" s="7">
        <f t="shared" si="15"/>
        <v>1.5</v>
      </c>
    </row>
    <row r="16" spans="1:49" x14ac:dyDescent="0.35">
      <c r="A16" s="1">
        <v>14</v>
      </c>
      <c r="B16" s="1" t="s">
        <v>37</v>
      </c>
      <c r="C16" s="1">
        <v>53</v>
      </c>
      <c r="D16" s="5" t="s">
        <v>87</v>
      </c>
      <c r="E16" s="1">
        <v>35</v>
      </c>
      <c r="F16" s="1">
        <v>4</v>
      </c>
      <c r="G16" s="1">
        <v>4</v>
      </c>
      <c r="H16" s="1">
        <v>8</v>
      </c>
      <c r="I16" s="1">
        <f t="shared" si="0"/>
        <v>8</v>
      </c>
      <c r="J16" s="7">
        <f t="shared" si="1"/>
        <v>4</v>
      </c>
      <c r="K16" s="13">
        <v>4</v>
      </c>
      <c r="L16" s="1">
        <v>3</v>
      </c>
      <c r="M16" s="1">
        <v>3</v>
      </c>
      <c r="N16" s="1">
        <v>8</v>
      </c>
      <c r="O16" s="1">
        <f t="shared" si="2"/>
        <v>6</v>
      </c>
      <c r="P16" s="7">
        <f t="shared" si="3"/>
        <v>3</v>
      </c>
      <c r="Q16" s="13">
        <v>3</v>
      </c>
      <c r="R16" s="1">
        <v>3</v>
      </c>
      <c r="S16" s="1">
        <v>3</v>
      </c>
      <c r="T16" s="1">
        <v>8</v>
      </c>
      <c r="U16" s="1">
        <f t="shared" si="4"/>
        <v>6</v>
      </c>
      <c r="V16" s="7">
        <f t="shared" si="5"/>
        <v>3</v>
      </c>
      <c r="W16" s="13">
        <v>3</v>
      </c>
      <c r="X16" s="1">
        <v>3</v>
      </c>
      <c r="Y16" s="1">
        <v>3</v>
      </c>
      <c r="Z16" s="1">
        <v>8</v>
      </c>
      <c r="AA16" s="1">
        <f t="shared" si="6"/>
        <v>6</v>
      </c>
      <c r="AB16" s="7">
        <f t="shared" si="7"/>
        <v>3</v>
      </c>
      <c r="AC16" s="13">
        <v>3</v>
      </c>
      <c r="AD16" s="1">
        <v>3</v>
      </c>
      <c r="AE16" s="1">
        <v>4</v>
      </c>
      <c r="AF16" s="1">
        <v>8</v>
      </c>
      <c r="AG16" s="1">
        <f t="shared" si="8"/>
        <v>7</v>
      </c>
      <c r="AH16" s="7">
        <f t="shared" si="9"/>
        <v>3.5</v>
      </c>
      <c r="AI16" s="1">
        <v>3</v>
      </c>
      <c r="AJ16" s="1">
        <v>3</v>
      </c>
      <c r="AK16" s="1">
        <v>8</v>
      </c>
      <c r="AL16" s="1">
        <f t="shared" si="10"/>
        <v>6</v>
      </c>
      <c r="AM16" s="7">
        <f t="shared" si="11"/>
        <v>3</v>
      </c>
      <c r="AN16" s="1">
        <v>2</v>
      </c>
      <c r="AO16" s="1">
        <v>2</v>
      </c>
      <c r="AP16" s="1">
        <v>8</v>
      </c>
      <c r="AQ16" s="1">
        <f t="shared" si="12"/>
        <v>4</v>
      </c>
      <c r="AR16" s="7">
        <f t="shared" si="13"/>
        <v>2</v>
      </c>
      <c r="AS16" s="1">
        <v>2</v>
      </c>
      <c r="AT16" s="1">
        <v>1</v>
      </c>
      <c r="AU16" s="1">
        <v>8</v>
      </c>
      <c r="AV16" s="1">
        <f t="shared" si="14"/>
        <v>3</v>
      </c>
      <c r="AW16" s="7">
        <f t="shared" si="15"/>
        <v>1.5</v>
      </c>
    </row>
    <row r="17" spans="1:49" x14ac:dyDescent="0.35">
      <c r="A17" s="1">
        <v>15</v>
      </c>
      <c r="B17" s="1" t="s">
        <v>38</v>
      </c>
      <c r="C17" s="1">
        <v>21</v>
      </c>
      <c r="D17" s="5" t="s">
        <v>84</v>
      </c>
      <c r="E17" s="1">
        <v>6</v>
      </c>
      <c r="F17" s="1">
        <v>4</v>
      </c>
      <c r="G17" s="1">
        <v>4</v>
      </c>
      <c r="H17" s="1">
        <v>8</v>
      </c>
      <c r="I17" s="1">
        <f t="shared" si="0"/>
        <v>8</v>
      </c>
      <c r="J17" s="7">
        <f t="shared" si="1"/>
        <v>4</v>
      </c>
      <c r="K17" s="13">
        <v>4</v>
      </c>
      <c r="L17" s="1">
        <v>3</v>
      </c>
      <c r="M17" s="1">
        <v>3</v>
      </c>
      <c r="N17" s="1">
        <v>8</v>
      </c>
      <c r="O17" s="1">
        <f t="shared" si="2"/>
        <v>6</v>
      </c>
      <c r="P17" s="7">
        <f t="shared" si="3"/>
        <v>3</v>
      </c>
      <c r="Q17" s="13">
        <v>3</v>
      </c>
      <c r="R17" s="1">
        <v>3</v>
      </c>
      <c r="S17" s="1">
        <v>3</v>
      </c>
      <c r="T17" s="1">
        <v>8</v>
      </c>
      <c r="U17" s="1">
        <f t="shared" si="4"/>
        <v>6</v>
      </c>
      <c r="V17" s="7">
        <f t="shared" si="5"/>
        <v>3</v>
      </c>
      <c r="W17" s="13">
        <v>3</v>
      </c>
      <c r="X17" s="1">
        <v>4</v>
      </c>
      <c r="Y17" s="1">
        <v>4</v>
      </c>
      <c r="Z17" s="1">
        <v>8</v>
      </c>
      <c r="AA17" s="1">
        <f t="shared" si="6"/>
        <v>8</v>
      </c>
      <c r="AB17" s="7">
        <f t="shared" si="7"/>
        <v>4</v>
      </c>
      <c r="AC17" s="13">
        <v>4</v>
      </c>
      <c r="AD17" s="1">
        <v>3</v>
      </c>
      <c r="AE17" s="1">
        <v>3</v>
      </c>
      <c r="AF17" s="1">
        <v>8</v>
      </c>
      <c r="AG17" s="1">
        <f t="shared" si="8"/>
        <v>6</v>
      </c>
      <c r="AH17" s="7">
        <f t="shared" si="9"/>
        <v>3</v>
      </c>
      <c r="AI17" s="1">
        <v>3</v>
      </c>
      <c r="AJ17" s="1">
        <v>3</v>
      </c>
      <c r="AK17" s="1">
        <v>8</v>
      </c>
      <c r="AL17" s="1">
        <f t="shared" si="10"/>
        <v>6</v>
      </c>
      <c r="AM17" s="7">
        <f t="shared" si="11"/>
        <v>3</v>
      </c>
      <c r="AN17" s="1">
        <v>3</v>
      </c>
      <c r="AO17" s="1">
        <v>3</v>
      </c>
      <c r="AP17" s="1">
        <v>8</v>
      </c>
      <c r="AQ17" s="1">
        <f t="shared" si="12"/>
        <v>6</v>
      </c>
      <c r="AR17" s="7">
        <f t="shared" si="13"/>
        <v>3</v>
      </c>
      <c r="AS17" s="1">
        <v>3</v>
      </c>
      <c r="AT17" s="1">
        <v>2</v>
      </c>
      <c r="AU17" s="1">
        <v>8</v>
      </c>
      <c r="AV17" s="1">
        <f t="shared" si="14"/>
        <v>5</v>
      </c>
      <c r="AW17" s="7">
        <f t="shared" si="15"/>
        <v>2.5</v>
      </c>
    </row>
    <row r="18" spans="1:49" x14ac:dyDescent="0.35">
      <c r="A18" s="1">
        <v>16</v>
      </c>
      <c r="B18" s="1" t="s">
        <v>39</v>
      </c>
      <c r="C18" s="1">
        <v>43</v>
      </c>
      <c r="D18" s="5" t="s">
        <v>83</v>
      </c>
      <c r="E18" s="1">
        <v>8</v>
      </c>
      <c r="F18" s="1">
        <v>3</v>
      </c>
      <c r="G18" s="1">
        <v>4</v>
      </c>
      <c r="H18" s="1">
        <v>8</v>
      </c>
      <c r="I18" s="1">
        <f t="shared" si="0"/>
        <v>7</v>
      </c>
      <c r="J18" s="7">
        <f t="shared" si="1"/>
        <v>3.5</v>
      </c>
      <c r="K18" s="13">
        <v>4</v>
      </c>
      <c r="L18" s="1">
        <v>3</v>
      </c>
      <c r="M18" s="1">
        <v>3</v>
      </c>
      <c r="N18" s="1">
        <v>8</v>
      </c>
      <c r="O18" s="1">
        <f t="shared" si="2"/>
        <v>6</v>
      </c>
      <c r="P18" s="7">
        <f t="shared" si="3"/>
        <v>3</v>
      </c>
      <c r="Q18" s="13">
        <v>3</v>
      </c>
      <c r="R18" s="1">
        <v>3</v>
      </c>
      <c r="S18" s="1">
        <v>3</v>
      </c>
      <c r="T18" s="1">
        <v>8</v>
      </c>
      <c r="U18" s="1">
        <f t="shared" si="4"/>
        <v>6</v>
      </c>
      <c r="V18" s="7">
        <f t="shared" si="5"/>
        <v>3</v>
      </c>
      <c r="W18" s="13">
        <v>3</v>
      </c>
      <c r="X18" s="1">
        <v>2</v>
      </c>
      <c r="Y18" s="1">
        <v>3</v>
      </c>
      <c r="Z18" s="1">
        <v>8</v>
      </c>
      <c r="AA18" s="1">
        <f t="shared" si="6"/>
        <v>5</v>
      </c>
      <c r="AB18" s="7">
        <f t="shared" si="7"/>
        <v>2.5</v>
      </c>
      <c r="AC18" s="13">
        <v>3</v>
      </c>
      <c r="AD18" s="1">
        <v>3</v>
      </c>
      <c r="AE18" s="1">
        <v>3</v>
      </c>
      <c r="AF18" s="1">
        <v>8</v>
      </c>
      <c r="AG18" s="1">
        <f t="shared" si="8"/>
        <v>6</v>
      </c>
      <c r="AH18" s="7">
        <f t="shared" si="9"/>
        <v>3</v>
      </c>
      <c r="AI18" s="1">
        <v>3</v>
      </c>
      <c r="AJ18" s="1">
        <v>3</v>
      </c>
      <c r="AK18" s="1">
        <v>8</v>
      </c>
      <c r="AL18" s="1">
        <f t="shared" si="10"/>
        <v>6</v>
      </c>
      <c r="AM18" s="7">
        <f t="shared" si="11"/>
        <v>3</v>
      </c>
      <c r="AN18" s="1">
        <v>2</v>
      </c>
      <c r="AO18" s="1">
        <v>2</v>
      </c>
      <c r="AP18" s="1">
        <v>8</v>
      </c>
      <c r="AQ18" s="1">
        <f t="shared" si="12"/>
        <v>4</v>
      </c>
      <c r="AR18" s="7">
        <f t="shared" si="13"/>
        <v>2</v>
      </c>
      <c r="AS18" s="1">
        <v>3</v>
      </c>
      <c r="AT18" s="1">
        <v>2</v>
      </c>
      <c r="AU18" s="1">
        <v>8</v>
      </c>
      <c r="AV18" s="1">
        <f t="shared" si="14"/>
        <v>5</v>
      </c>
      <c r="AW18" s="7">
        <f t="shared" si="15"/>
        <v>2.5</v>
      </c>
    </row>
    <row r="19" spans="1:49" x14ac:dyDescent="0.35">
      <c r="A19" s="1">
        <v>17</v>
      </c>
      <c r="B19" s="1" t="s">
        <v>40</v>
      </c>
      <c r="C19" s="1">
        <v>36</v>
      </c>
      <c r="D19" s="5" t="s">
        <v>85</v>
      </c>
      <c r="E19" s="1">
        <v>12</v>
      </c>
      <c r="F19" s="1">
        <v>4</v>
      </c>
      <c r="G19" s="1">
        <v>4</v>
      </c>
      <c r="H19" s="1">
        <v>8</v>
      </c>
      <c r="I19" s="1">
        <f t="shared" si="0"/>
        <v>8</v>
      </c>
      <c r="J19" s="7">
        <f t="shared" si="1"/>
        <v>4</v>
      </c>
      <c r="K19" s="13">
        <v>4</v>
      </c>
      <c r="L19" s="1">
        <v>3</v>
      </c>
      <c r="M19" s="1">
        <v>3</v>
      </c>
      <c r="N19" s="1">
        <v>8</v>
      </c>
      <c r="O19" s="1">
        <f t="shared" si="2"/>
        <v>6</v>
      </c>
      <c r="P19" s="7">
        <f t="shared" si="3"/>
        <v>3</v>
      </c>
      <c r="Q19" s="13">
        <v>3</v>
      </c>
      <c r="R19" s="1">
        <v>4</v>
      </c>
      <c r="S19" s="1">
        <v>3</v>
      </c>
      <c r="T19" s="1">
        <v>8</v>
      </c>
      <c r="U19" s="1">
        <f t="shared" si="4"/>
        <v>7</v>
      </c>
      <c r="V19" s="7">
        <f t="shared" si="5"/>
        <v>3.5</v>
      </c>
      <c r="W19" s="13">
        <v>4</v>
      </c>
      <c r="X19" s="1">
        <v>4</v>
      </c>
      <c r="Y19" s="1">
        <v>4</v>
      </c>
      <c r="Z19" s="1">
        <v>8</v>
      </c>
      <c r="AA19" s="1">
        <f t="shared" si="6"/>
        <v>8</v>
      </c>
      <c r="AB19" s="7">
        <f t="shared" si="7"/>
        <v>4</v>
      </c>
      <c r="AC19" s="13">
        <v>4</v>
      </c>
      <c r="AD19" s="1">
        <v>3</v>
      </c>
      <c r="AE19" s="1">
        <v>4</v>
      </c>
      <c r="AF19" s="1">
        <v>8</v>
      </c>
      <c r="AG19" s="1">
        <f t="shared" si="8"/>
        <v>7</v>
      </c>
      <c r="AH19" s="7">
        <f t="shared" si="9"/>
        <v>3.5</v>
      </c>
      <c r="AI19" s="1">
        <v>3</v>
      </c>
      <c r="AJ19" s="1">
        <v>3</v>
      </c>
      <c r="AK19" s="1">
        <v>8</v>
      </c>
      <c r="AL19" s="1">
        <f t="shared" si="10"/>
        <v>6</v>
      </c>
      <c r="AM19" s="7">
        <f t="shared" si="11"/>
        <v>3</v>
      </c>
      <c r="AN19" s="1">
        <v>2</v>
      </c>
      <c r="AO19" s="1">
        <v>3</v>
      </c>
      <c r="AP19" s="1">
        <v>8</v>
      </c>
      <c r="AQ19" s="1">
        <f t="shared" si="12"/>
        <v>5</v>
      </c>
      <c r="AR19" s="7">
        <f t="shared" si="13"/>
        <v>2.5</v>
      </c>
      <c r="AS19" s="1">
        <v>4</v>
      </c>
      <c r="AT19" s="1">
        <v>4</v>
      </c>
      <c r="AU19" s="1">
        <v>8</v>
      </c>
      <c r="AV19" s="1">
        <f t="shared" si="14"/>
        <v>8</v>
      </c>
      <c r="AW19" s="7">
        <f t="shared" si="15"/>
        <v>4</v>
      </c>
    </row>
    <row r="20" spans="1:49" x14ac:dyDescent="0.35">
      <c r="A20" s="1">
        <v>18</v>
      </c>
      <c r="B20" s="1" t="s">
        <v>41</v>
      </c>
      <c r="C20" s="1">
        <v>30</v>
      </c>
      <c r="D20" s="5" t="s">
        <v>85</v>
      </c>
      <c r="E20" s="1">
        <v>8</v>
      </c>
      <c r="F20" s="1">
        <v>4</v>
      </c>
      <c r="G20" s="1">
        <v>3</v>
      </c>
      <c r="H20" s="1">
        <v>8</v>
      </c>
      <c r="I20" s="1">
        <f t="shared" si="0"/>
        <v>7</v>
      </c>
      <c r="J20" s="7">
        <f t="shared" si="1"/>
        <v>3.5</v>
      </c>
      <c r="K20" s="13">
        <v>4</v>
      </c>
      <c r="L20" s="1">
        <v>3</v>
      </c>
      <c r="M20" s="1">
        <v>3</v>
      </c>
      <c r="N20" s="1">
        <v>8</v>
      </c>
      <c r="O20" s="1">
        <f t="shared" si="2"/>
        <v>6</v>
      </c>
      <c r="P20" s="7">
        <f t="shared" si="3"/>
        <v>3</v>
      </c>
      <c r="Q20" s="13">
        <v>3</v>
      </c>
      <c r="R20" s="1">
        <v>4</v>
      </c>
      <c r="S20" s="1">
        <v>3</v>
      </c>
      <c r="T20" s="1">
        <v>8</v>
      </c>
      <c r="U20" s="1">
        <f t="shared" si="4"/>
        <v>7</v>
      </c>
      <c r="V20" s="7">
        <f t="shared" si="5"/>
        <v>3.5</v>
      </c>
      <c r="W20" s="13">
        <v>4</v>
      </c>
      <c r="X20" s="1">
        <v>3</v>
      </c>
      <c r="Y20" s="1">
        <v>3</v>
      </c>
      <c r="Z20" s="1">
        <v>8</v>
      </c>
      <c r="AA20" s="1">
        <f t="shared" si="6"/>
        <v>6</v>
      </c>
      <c r="AB20" s="7">
        <f t="shared" si="7"/>
        <v>3</v>
      </c>
      <c r="AC20" s="13">
        <v>3</v>
      </c>
      <c r="AD20" s="1">
        <v>3</v>
      </c>
      <c r="AE20" s="1">
        <v>2</v>
      </c>
      <c r="AF20" s="1">
        <v>8</v>
      </c>
      <c r="AG20" s="1">
        <f t="shared" si="8"/>
        <v>5</v>
      </c>
      <c r="AH20" s="7">
        <f t="shared" si="9"/>
        <v>2.5</v>
      </c>
      <c r="AI20" s="1">
        <v>3</v>
      </c>
      <c r="AJ20" s="1">
        <v>3</v>
      </c>
      <c r="AK20" s="1">
        <v>8</v>
      </c>
      <c r="AL20" s="1">
        <f t="shared" si="10"/>
        <v>6</v>
      </c>
      <c r="AM20" s="7">
        <f t="shared" si="11"/>
        <v>3</v>
      </c>
      <c r="AN20" s="1">
        <v>2</v>
      </c>
      <c r="AO20" s="1">
        <v>2</v>
      </c>
      <c r="AP20" s="1">
        <v>8</v>
      </c>
      <c r="AQ20" s="1">
        <f t="shared" si="12"/>
        <v>4</v>
      </c>
      <c r="AR20" s="7">
        <f t="shared" si="13"/>
        <v>2</v>
      </c>
      <c r="AS20" s="1">
        <v>2</v>
      </c>
      <c r="AT20" s="1">
        <v>2</v>
      </c>
      <c r="AU20" s="1">
        <v>8</v>
      </c>
      <c r="AV20" s="1">
        <f t="shared" si="14"/>
        <v>4</v>
      </c>
      <c r="AW20" s="7">
        <f t="shared" si="15"/>
        <v>2</v>
      </c>
    </row>
    <row r="21" spans="1:49" x14ac:dyDescent="0.35">
      <c r="A21" s="1">
        <v>19</v>
      </c>
      <c r="B21" s="1" t="s">
        <v>42</v>
      </c>
      <c r="C21" s="1">
        <v>37</v>
      </c>
      <c r="D21" s="5" t="s">
        <v>85</v>
      </c>
      <c r="E21" s="1">
        <v>14</v>
      </c>
      <c r="F21" s="1">
        <v>4</v>
      </c>
      <c r="G21" s="1">
        <v>3</v>
      </c>
      <c r="H21" s="1">
        <v>8</v>
      </c>
      <c r="I21" s="1">
        <f t="shared" si="0"/>
        <v>7</v>
      </c>
      <c r="J21" s="7">
        <f t="shared" si="1"/>
        <v>3.5</v>
      </c>
      <c r="K21" s="13">
        <v>4</v>
      </c>
      <c r="L21" s="1">
        <v>2</v>
      </c>
      <c r="M21" s="1">
        <v>2</v>
      </c>
      <c r="N21" s="1">
        <v>8</v>
      </c>
      <c r="O21" s="1">
        <f t="shared" si="2"/>
        <v>4</v>
      </c>
      <c r="P21" s="7">
        <f t="shared" si="3"/>
        <v>2</v>
      </c>
      <c r="Q21" s="13">
        <v>2</v>
      </c>
      <c r="R21" s="1">
        <v>3</v>
      </c>
      <c r="S21" s="1">
        <v>3</v>
      </c>
      <c r="T21" s="1">
        <v>8</v>
      </c>
      <c r="U21" s="1">
        <f t="shared" si="4"/>
        <v>6</v>
      </c>
      <c r="V21" s="7">
        <f t="shared" si="5"/>
        <v>3</v>
      </c>
      <c r="W21" s="13">
        <v>3</v>
      </c>
      <c r="X21" s="1">
        <v>2</v>
      </c>
      <c r="Y21" s="1">
        <v>2</v>
      </c>
      <c r="Z21" s="1">
        <v>8</v>
      </c>
      <c r="AA21" s="1">
        <f t="shared" si="6"/>
        <v>4</v>
      </c>
      <c r="AB21" s="7">
        <f t="shared" si="7"/>
        <v>2</v>
      </c>
      <c r="AC21" s="13">
        <v>2</v>
      </c>
      <c r="AD21" s="1">
        <v>3</v>
      </c>
      <c r="AE21" s="1">
        <v>3</v>
      </c>
      <c r="AF21" s="1">
        <v>8</v>
      </c>
      <c r="AG21" s="1">
        <f t="shared" si="8"/>
        <v>6</v>
      </c>
      <c r="AH21" s="7">
        <f t="shared" si="9"/>
        <v>3</v>
      </c>
      <c r="AI21" s="1">
        <v>2</v>
      </c>
      <c r="AJ21" s="1">
        <v>3</v>
      </c>
      <c r="AK21" s="1">
        <v>8</v>
      </c>
      <c r="AL21" s="1">
        <f t="shared" si="10"/>
        <v>5</v>
      </c>
      <c r="AM21" s="7">
        <f t="shared" si="11"/>
        <v>2.5</v>
      </c>
      <c r="AN21" s="1">
        <v>3</v>
      </c>
      <c r="AO21" s="1">
        <v>2</v>
      </c>
      <c r="AP21" s="1">
        <v>8</v>
      </c>
      <c r="AQ21" s="1">
        <f t="shared" si="12"/>
        <v>5</v>
      </c>
      <c r="AR21" s="7">
        <f t="shared" si="13"/>
        <v>2.5</v>
      </c>
      <c r="AS21" s="1">
        <v>2</v>
      </c>
      <c r="AT21" s="1">
        <v>2</v>
      </c>
      <c r="AU21" s="1">
        <v>8</v>
      </c>
      <c r="AV21" s="1">
        <f t="shared" si="14"/>
        <v>4</v>
      </c>
      <c r="AW21" s="7">
        <f t="shared" si="15"/>
        <v>2</v>
      </c>
    </row>
    <row r="22" spans="1:49" x14ac:dyDescent="0.35">
      <c r="A22" s="1">
        <v>20</v>
      </c>
      <c r="B22" s="1" t="s">
        <v>43</v>
      </c>
      <c r="C22" s="1">
        <v>36</v>
      </c>
      <c r="D22" s="5" t="s">
        <v>86</v>
      </c>
      <c r="E22" s="1">
        <v>4</v>
      </c>
      <c r="F22" s="1">
        <v>3</v>
      </c>
      <c r="G22" s="1">
        <v>4</v>
      </c>
      <c r="H22" s="1">
        <v>8</v>
      </c>
      <c r="I22" s="1">
        <f t="shared" si="0"/>
        <v>7</v>
      </c>
      <c r="J22" s="7">
        <f t="shared" si="1"/>
        <v>3.5</v>
      </c>
      <c r="K22" s="13">
        <v>4</v>
      </c>
      <c r="L22" s="1">
        <v>2</v>
      </c>
      <c r="M22" s="1">
        <v>3</v>
      </c>
      <c r="N22" s="1">
        <v>8</v>
      </c>
      <c r="O22" s="1">
        <f t="shared" si="2"/>
        <v>5</v>
      </c>
      <c r="P22" s="7">
        <f t="shared" si="3"/>
        <v>2.5</v>
      </c>
      <c r="Q22" s="13">
        <v>3</v>
      </c>
      <c r="R22" s="1">
        <v>3</v>
      </c>
      <c r="S22" s="1">
        <v>3</v>
      </c>
      <c r="T22" s="1">
        <v>8</v>
      </c>
      <c r="U22" s="1">
        <f t="shared" si="4"/>
        <v>6</v>
      </c>
      <c r="V22" s="7">
        <f t="shared" si="5"/>
        <v>3</v>
      </c>
      <c r="W22" s="13">
        <v>3</v>
      </c>
      <c r="X22" s="1">
        <v>2</v>
      </c>
      <c r="Y22" s="1">
        <v>3</v>
      </c>
      <c r="Z22" s="1">
        <v>8</v>
      </c>
      <c r="AA22" s="1">
        <f t="shared" si="6"/>
        <v>5</v>
      </c>
      <c r="AB22" s="7">
        <f t="shared" si="7"/>
        <v>2.5</v>
      </c>
      <c r="AC22" s="13">
        <v>3</v>
      </c>
      <c r="AD22" s="1">
        <v>3</v>
      </c>
      <c r="AE22" s="1">
        <v>3</v>
      </c>
      <c r="AF22" s="1">
        <v>8</v>
      </c>
      <c r="AG22" s="1">
        <f t="shared" si="8"/>
        <v>6</v>
      </c>
      <c r="AH22" s="7">
        <f t="shared" si="9"/>
        <v>3</v>
      </c>
      <c r="AI22" s="1">
        <v>2</v>
      </c>
      <c r="AJ22" s="1">
        <v>3</v>
      </c>
      <c r="AK22" s="1">
        <v>8</v>
      </c>
      <c r="AL22" s="1">
        <f t="shared" si="10"/>
        <v>5</v>
      </c>
      <c r="AM22" s="7">
        <f t="shared" si="11"/>
        <v>2.5</v>
      </c>
      <c r="AN22" s="1">
        <v>2</v>
      </c>
      <c r="AO22" s="1">
        <v>1</v>
      </c>
      <c r="AP22" s="1">
        <v>8</v>
      </c>
      <c r="AQ22" s="1">
        <f t="shared" si="12"/>
        <v>3</v>
      </c>
      <c r="AR22" s="7">
        <f t="shared" si="13"/>
        <v>1.5</v>
      </c>
      <c r="AS22" s="1">
        <v>2</v>
      </c>
      <c r="AT22" s="1">
        <v>2</v>
      </c>
      <c r="AU22" s="1">
        <v>8</v>
      </c>
      <c r="AV22" s="1">
        <f t="shared" si="14"/>
        <v>4</v>
      </c>
      <c r="AW22" s="7">
        <f t="shared" si="15"/>
        <v>2</v>
      </c>
    </row>
    <row r="23" spans="1:49" x14ac:dyDescent="0.35">
      <c r="A23" s="1">
        <v>21</v>
      </c>
      <c r="B23" s="1" t="s">
        <v>44</v>
      </c>
      <c r="C23" s="1">
        <v>40</v>
      </c>
      <c r="D23" s="5" t="s">
        <v>83</v>
      </c>
      <c r="E23" s="1">
        <v>5</v>
      </c>
      <c r="F23" s="1">
        <v>3</v>
      </c>
      <c r="G23" s="1">
        <v>3</v>
      </c>
      <c r="H23" s="1">
        <v>8</v>
      </c>
      <c r="I23" s="1">
        <f t="shared" si="0"/>
        <v>6</v>
      </c>
      <c r="J23" s="7">
        <f t="shared" si="1"/>
        <v>3</v>
      </c>
      <c r="K23" s="13">
        <v>3</v>
      </c>
      <c r="L23" s="1">
        <v>3</v>
      </c>
      <c r="M23" s="1">
        <v>3</v>
      </c>
      <c r="N23" s="1">
        <v>8</v>
      </c>
      <c r="O23" s="1">
        <f t="shared" si="2"/>
        <v>6</v>
      </c>
      <c r="P23" s="7">
        <f t="shared" si="3"/>
        <v>3</v>
      </c>
      <c r="Q23" s="13">
        <v>3</v>
      </c>
      <c r="R23" s="1">
        <v>4</v>
      </c>
      <c r="S23" s="1">
        <v>4</v>
      </c>
      <c r="T23" s="1">
        <v>8</v>
      </c>
      <c r="U23" s="1">
        <f t="shared" si="4"/>
        <v>8</v>
      </c>
      <c r="V23" s="7">
        <f t="shared" si="5"/>
        <v>4</v>
      </c>
      <c r="W23" s="13">
        <v>4</v>
      </c>
      <c r="X23" s="1">
        <v>2</v>
      </c>
      <c r="Y23" s="1">
        <v>4</v>
      </c>
      <c r="Z23" s="1">
        <v>8</v>
      </c>
      <c r="AA23" s="1">
        <f t="shared" si="6"/>
        <v>6</v>
      </c>
      <c r="AB23" s="7">
        <f t="shared" si="7"/>
        <v>3</v>
      </c>
      <c r="AC23" s="13">
        <v>3</v>
      </c>
      <c r="AD23" s="1">
        <v>3</v>
      </c>
      <c r="AE23" s="1">
        <v>4</v>
      </c>
      <c r="AF23" s="1">
        <v>8</v>
      </c>
      <c r="AG23" s="1">
        <f t="shared" si="8"/>
        <v>7</v>
      </c>
      <c r="AH23" s="7">
        <f t="shared" si="9"/>
        <v>3.5</v>
      </c>
      <c r="AI23" s="1">
        <v>4</v>
      </c>
      <c r="AJ23" s="1">
        <v>2</v>
      </c>
      <c r="AK23" s="1">
        <v>8</v>
      </c>
      <c r="AL23" s="1">
        <f t="shared" si="10"/>
        <v>6</v>
      </c>
      <c r="AM23" s="7">
        <f t="shared" si="11"/>
        <v>3</v>
      </c>
      <c r="AN23" s="1">
        <v>3</v>
      </c>
      <c r="AO23" s="1">
        <v>3</v>
      </c>
      <c r="AP23" s="1">
        <v>8</v>
      </c>
      <c r="AQ23" s="1">
        <f t="shared" si="12"/>
        <v>6</v>
      </c>
      <c r="AR23" s="7">
        <f t="shared" si="13"/>
        <v>3</v>
      </c>
      <c r="AS23" s="1">
        <v>3</v>
      </c>
      <c r="AT23" s="1">
        <v>3</v>
      </c>
      <c r="AU23" s="1">
        <v>8</v>
      </c>
      <c r="AV23" s="1">
        <f t="shared" si="14"/>
        <v>6</v>
      </c>
      <c r="AW23" s="7">
        <f t="shared" si="15"/>
        <v>3</v>
      </c>
    </row>
    <row r="24" spans="1:49" x14ac:dyDescent="0.35">
      <c r="A24" s="1">
        <v>22</v>
      </c>
      <c r="B24" s="1" t="s">
        <v>45</v>
      </c>
      <c r="C24" s="1">
        <v>38</v>
      </c>
      <c r="D24" s="5" t="s">
        <v>87</v>
      </c>
      <c r="E24" s="1">
        <v>10</v>
      </c>
      <c r="F24" s="1">
        <v>3</v>
      </c>
      <c r="G24" s="1">
        <v>4</v>
      </c>
      <c r="H24" s="1">
        <v>8</v>
      </c>
      <c r="I24" s="1">
        <f t="shared" si="0"/>
        <v>7</v>
      </c>
      <c r="J24" s="7">
        <f t="shared" si="1"/>
        <v>3.5</v>
      </c>
      <c r="K24" s="13">
        <v>4</v>
      </c>
      <c r="L24" s="1">
        <v>3</v>
      </c>
      <c r="M24" s="1">
        <v>4</v>
      </c>
      <c r="N24" s="1">
        <v>8</v>
      </c>
      <c r="O24" s="1">
        <f t="shared" si="2"/>
        <v>7</v>
      </c>
      <c r="P24" s="7">
        <f t="shared" si="3"/>
        <v>3.5</v>
      </c>
      <c r="Q24" s="13">
        <v>4</v>
      </c>
      <c r="R24" s="1">
        <v>3</v>
      </c>
      <c r="S24" s="1">
        <v>4</v>
      </c>
      <c r="T24" s="1">
        <v>8</v>
      </c>
      <c r="U24" s="1">
        <f t="shared" si="4"/>
        <v>7</v>
      </c>
      <c r="V24" s="7">
        <f t="shared" si="5"/>
        <v>3.5</v>
      </c>
      <c r="W24" s="13">
        <v>4</v>
      </c>
      <c r="X24" s="1">
        <v>4</v>
      </c>
      <c r="Y24" s="1">
        <v>4</v>
      </c>
      <c r="Z24" s="1">
        <v>8</v>
      </c>
      <c r="AA24" s="1">
        <f t="shared" si="6"/>
        <v>8</v>
      </c>
      <c r="AB24" s="7">
        <f t="shared" si="7"/>
        <v>4</v>
      </c>
      <c r="AC24" s="13">
        <v>4</v>
      </c>
      <c r="AD24" s="1">
        <v>3</v>
      </c>
      <c r="AE24" s="1">
        <v>4</v>
      </c>
      <c r="AF24" s="1">
        <v>8</v>
      </c>
      <c r="AG24" s="1">
        <f t="shared" si="8"/>
        <v>7</v>
      </c>
      <c r="AH24" s="7">
        <f t="shared" si="9"/>
        <v>3.5</v>
      </c>
      <c r="AI24" s="1">
        <v>3</v>
      </c>
      <c r="AJ24" s="1">
        <v>3</v>
      </c>
      <c r="AK24" s="1">
        <v>8</v>
      </c>
      <c r="AL24" s="1">
        <f t="shared" si="10"/>
        <v>6</v>
      </c>
      <c r="AM24" s="7">
        <f t="shared" si="11"/>
        <v>3</v>
      </c>
      <c r="AN24" s="1">
        <v>4</v>
      </c>
      <c r="AO24" s="1">
        <v>3</v>
      </c>
      <c r="AP24" s="1">
        <v>8</v>
      </c>
      <c r="AQ24" s="1">
        <f t="shared" si="12"/>
        <v>7</v>
      </c>
      <c r="AR24" s="7">
        <f t="shared" si="13"/>
        <v>3.5</v>
      </c>
      <c r="AS24" s="1">
        <v>4</v>
      </c>
      <c r="AT24" s="1">
        <v>3</v>
      </c>
      <c r="AU24" s="1">
        <v>8</v>
      </c>
      <c r="AV24" s="1">
        <f t="shared" si="14"/>
        <v>7</v>
      </c>
      <c r="AW24" s="7">
        <f t="shared" si="15"/>
        <v>3.5</v>
      </c>
    </row>
    <row r="25" spans="1:49" x14ac:dyDescent="0.35">
      <c r="A25" s="1">
        <v>23</v>
      </c>
      <c r="B25" s="1" t="s">
        <v>46</v>
      </c>
      <c r="C25" s="1">
        <v>59</v>
      </c>
      <c r="D25" s="5" t="s">
        <v>83</v>
      </c>
      <c r="E25" s="1">
        <v>30</v>
      </c>
      <c r="F25" s="1">
        <v>3</v>
      </c>
      <c r="G25" s="1">
        <v>3</v>
      </c>
      <c r="H25" s="1">
        <v>8</v>
      </c>
      <c r="I25" s="1">
        <f t="shared" si="0"/>
        <v>6</v>
      </c>
      <c r="J25" s="7">
        <f t="shared" si="1"/>
        <v>3</v>
      </c>
      <c r="K25" s="13">
        <v>3</v>
      </c>
      <c r="L25" s="1">
        <v>2</v>
      </c>
      <c r="M25" s="1">
        <v>3</v>
      </c>
      <c r="N25" s="1">
        <v>8</v>
      </c>
      <c r="O25" s="1">
        <f t="shared" si="2"/>
        <v>5</v>
      </c>
      <c r="P25" s="7">
        <f t="shared" si="3"/>
        <v>2.5</v>
      </c>
      <c r="Q25" s="13">
        <v>3</v>
      </c>
      <c r="R25" s="1">
        <v>3</v>
      </c>
      <c r="S25" s="1">
        <v>2</v>
      </c>
      <c r="T25" s="1">
        <v>8</v>
      </c>
      <c r="U25" s="1">
        <f t="shared" si="4"/>
        <v>5</v>
      </c>
      <c r="V25" s="7">
        <f t="shared" si="5"/>
        <v>2.5</v>
      </c>
      <c r="W25" s="13">
        <v>3</v>
      </c>
      <c r="X25" s="1">
        <v>2</v>
      </c>
      <c r="Y25" s="1">
        <v>3</v>
      </c>
      <c r="Z25" s="1">
        <v>8</v>
      </c>
      <c r="AA25" s="1">
        <f t="shared" si="6"/>
        <v>5</v>
      </c>
      <c r="AB25" s="7">
        <f t="shared" si="7"/>
        <v>2.5</v>
      </c>
      <c r="AC25" s="13">
        <v>3</v>
      </c>
      <c r="AD25" s="1">
        <v>3</v>
      </c>
      <c r="AE25" s="1">
        <v>3</v>
      </c>
      <c r="AF25" s="1">
        <v>8</v>
      </c>
      <c r="AG25" s="1">
        <f t="shared" si="8"/>
        <v>6</v>
      </c>
      <c r="AH25" s="7">
        <f t="shared" si="9"/>
        <v>3</v>
      </c>
      <c r="AI25" s="1">
        <v>2</v>
      </c>
      <c r="AJ25" s="1">
        <v>3</v>
      </c>
      <c r="AK25" s="1">
        <v>8</v>
      </c>
      <c r="AL25" s="1">
        <f t="shared" si="10"/>
        <v>5</v>
      </c>
      <c r="AM25" s="7">
        <f t="shared" si="11"/>
        <v>2.5</v>
      </c>
      <c r="AN25" s="1">
        <v>3</v>
      </c>
      <c r="AO25" s="1">
        <v>2</v>
      </c>
      <c r="AP25" s="1">
        <v>8</v>
      </c>
      <c r="AQ25" s="1">
        <f t="shared" si="12"/>
        <v>5</v>
      </c>
      <c r="AR25" s="7">
        <f t="shared" si="13"/>
        <v>2.5</v>
      </c>
      <c r="AS25" s="1">
        <v>3</v>
      </c>
      <c r="AT25" s="1">
        <v>2</v>
      </c>
      <c r="AU25" s="1">
        <v>8</v>
      </c>
      <c r="AV25" s="1">
        <f t="shared" si="14"/>
        <v>5</v>
      </c>
      <c r="AW25" s="7">
        <f t="shared" si="15"/>
        <v>2.5</v>
      </c>
    </row>
    <row r="26" spans="1:49" x14ac:dyDescent="0.35">
      <c r="A26" s="1">
        <v>24</v>
      </c>
      <c r="B26" s="1" t="s">
        <v>47</v>
      </c>
      <c r="C26" s="1">
        <v>49</v>
      </c>
      <c r="D26" s="5" t="s">
        <v>83</v>
      </c>
      <c r="E26" s="1">
        <v>25</v>
      </c>
      <c r="F26" s="1">
        <v>3</v>
      </c>
      <c r="G26" s="1">
        <v>3</v>
      </c>
      <c r="H26" s="1">
        <v>8</v>
      </c>
      <c r="I26" s="1">
        <f t="shared" si="0"/>
        <v>6</v>
      </c>
      <c r="J26" s="7">
        <f t="shared" si="1"/>
        <v>3</v>
      </c>
      <c r="K26" s="13">
        <v>3</v>
      </c>
      <c r="L26" s="1">
        <v>3</v>
      </c>
      <c r="M26" s="1">
        <v>3</v>
      </c>
      <c r="N26" s="1">
        <v>8</v>
      </c>
      <c r="O26" s="1">
        <f t="shared" si="2"/>
        <v>6</v>
      </c>
      <c r="P26" s="7">
        <f t="shared" si="3"/>
        <v>3</v>
      </c>
      <c r="Q26" s="13">
        <v>3</v>
      </c>
      <c r="R26" s="1">
        <v>2</v>
      </c>
      <c r="S26" s="1">
        <v>3</v>
      </c>
      <c r="T26" s="1">
        <v>8</v>
      </c>
      <c r="U26" s="1">
        <f t="shared" si="4"/>
        <v>5</v>
      </c>
      <c r="V26" s="7">
        <f t="shared" si="5"/>
        <v>2.5</v>
      </c>
      <c r="W26" s="13">
        <v>3</v>
      </c>
      <c r="X26" s="1">
        <v>3</v>
      </c>
      <c r="Y26" s="1">
        <v>3</v>
      </c>
      <c r="Z26" s="1">
        <v>8</v>
      </c>
      <c r="AA26" s="1">
        <f t="shared" si="6"/>
        <v>6</v>
      </c>
      <c r="AB26" s="7">
        <f t="shared" si="7"/>
        <v>3</v>
      </c>
      <c r="AC26" s="13">
        <v>3</v>
      </c>
      <c r="AD26" s="1">
        <v>3</v>
      </c>
      <c r="AE26" s="1">
        <v>3</v>
      </c>
      <c r="AF26" s="1">
        <v>8</v>
      </c>
      <c r="AG26" s="1">
        <f t="shared" si="8"/>
        <v>6</v>
      </c>
      <c r="AH26" s="7">
        <f t="shared" si="9"/>
        <v>3</v>
      </c>
      <c r="AI26" s="1">
        <v>2</v>
      </c>
      <c r="AJ26" s="1">
        <v>3</v>
      </c>
      <c r="AK26" s="1">
        <v>8</v>
      </c>
      <c r="AL26" s="1">
        <f t="shared" si="10"/>
        <v>5</v>
      </c>
      <c r="AM26" s="7">
        <f t="shared" si="11"/>
        <v>2.5</v>
      </c>
      <c r="AN26" s="1">
        <v>3</v>
      </c>
      <c r="AO26" s="1">
        <v>2</v>
      </c>
      <c r="AP26" s="1">
        <v>8</v>
      </c>
      <c r="AQ26" s="1">
        <f t="shared" si="12"/>
        <v>5</v>
      </c>
      <c r="AR26" s="7">
        <f t="shared" si="13"/>
        <v>2.5</v>
      </c>
      <c r="AS26" s="1">
        <v>3</v>
      </c>
      <c r="AT26" s="1">
        <v>3</v>
      </c>
      <c r="AU26" s="1">
        <v>8</v>
      </c>
      <c r="AV26" s="1">
        <f t="shared" si="14"/>
        <v>6</v>
      </c>
      <c r="AW26" s="7">
        <f t="shared" si="15"/>
        <v>3</v>
      </c>
    </row>
    <row r="27" spans="1:49" x14ac:dyDescent="0.35">
      <c r="A27" s="1">
        <v>25</v>
      </c>
      <c r="B27" s="1" t="s">
        <v>48</v>
      </c>
      <c r="C27" s="1">
        <v>40</v>
      </c>
      <c r="D27" s="5" t="s">
        <v>83</v>
      </c>
      <c r="E27" s="1">
        <v>20</v>
      </c>
      <c r="F27" s="1">
        <v>3</v>
      </c>
      <c r="G27" s="1">
        <v>3</v>
      </c>
      <c r="H27" s="1">
        <v>8</v>
      </c>
      <c r="I27" s="1">
        <f t="shared" si="0"/>
        <v>6</v>
      </c>
      <c r="J27" s="7">
        <f t="shared" si="1"/>
        <v>3</v>
      </c>
      <c r="K27" s="13">
        <v>3</v>
      </c>
      <c r="L27" s="1">
        <v>3</v>
      </c>
      <c r="M27" s="1">
        <v>3</v>
      </c>
      <c r="N27" s="1">
        <v>8</v>
      </c>
      <c r="O27" s="1">
        <f t="shared" si="2"/>
        <v>6</v>
      </c>
      <c r="P27" s="7">
        <f t="shared" si="3"/>
        <v>3</v>
      </c>
      <c r="Q27" s="13">
        <v>3</v>
      </c>
      <c r="R27" s="1">
        <v>3</v>
      </c>
      <c r="S27" s="1">
        <v>3</v>
      </c>
      <c r="T27" s="1">
        <v>8</v>
      </c>
      <c r="U27" s="1">
        <f t="shared" si="4"/>
        <v>6</v>
      </c>
      <c r="V27" s="7">
        <f t="shared" si="5"/>
        <v>3</v>
      </c>
      <c r="W27" s="13">
        <v>3</v>
      </c>
      <c r="X27" s="1">
        <v>2</v>
      </c>
      <c r="Y27" s="1">
        <v>3</v>
      </c>
      <c r="Z27" s="1">
        <v>8</v>
      </c>
      <c r="AA27" s="1">
        <f t="shared" si="6"/>
        <v>5</v>
      </c>
      <c r="AB27" s="7">
        <f t="shared" si="7"/>
        <v>2.5</v>
      </c>
      <c r="AC27" s="13">
        <v>3</v>
      </c>
      <c r="AD27" s="1">
        <v>3</v>
      </c>
      <c r="AE27" s="1">
        <v>4</v>
      </c>
      <c r="AF27" s="1">
        <v>8</v>
      </c>
      <c r="AG27" s="1">
        <f t="shared" si="8"/>
        <v>7</v>
      </c>
      <c r="AH27" s="7">
        <f t="shared" si="9"/>
        <v>3.5</v>
      </c>
      <c r="AI27" s="1">
        <v>2</v>
      </c>
      <c r="AJ27" s="1">
        <v>3</v>
      </c>
      <c r="AK27" s="1">
        <v>8</v>
      </c>
      <c r="AL27" s="1">
        <f t="shared" si="10"/>
        <v>5</v>
      </c>
      <c r="AM27" s="7">
        <f t="shared" si="11"/>
        <v>2.5</v>
      </c>
      <c r="AN27" s="1">
        <v>2</v>
      </c>
      <c r="AO27" s="1">
        <v>2</v>
      </c>
      <c r="AP27" s="1">
        <v>8</v>
      </c>
      <c r="AQ27" s="1">
        <f t="shared" si="12"/>
        <v>4</v>
      </c>
      <c r="AR27" s="7">
        <f t="shared" si="13"/>
        <v>2</v>
      </c>
      <c r="AS27" s="1">
        <v>2</v>
      </c>
      <c r="AT27" s="1">
        <v>1</v>
      </c>
      <c r="AU27" s="1">
        <v>8</v>
      </c>
      <c r="AV27" s="1">
        <f t="shared" si="14"/>
        <v>3</v>
      </c>
      <c r="AW27" s="7">
        <f t="shared" si="15"/>
        <v>1.5</v>
      </c>
    </row>
    <row r="28" spans="1:49" x14ac:dyDescent="0.35">
      <c r="A28" s="1">
        <v>26</v>
      </c>
      <c r="B28" s="1" t="s">
        <v>49</v>
      </c>
      <c r="C28" s="1">
        <v>28</v>
      </c>
      <c r="D28" s="5" t="s">
        <v>85</v>
      </c>
      <c r="E28" s="1">
        <v>8</v>
      </c>
      <c r="F28" s="1">
        <v>3</v>
      </c>
      <c r="G28" s="1">
        <v>4</v>
      </c>
      <c r="H28" s="1">
        <v>8</v>
      </c>
      <c r="I28" s="1">
        <f t="shared" si="0"/>
        <v>7</v>
      </c>
      <c r="J28" s="7">
        <f t="shared" si="1"/>
        <v>3.5</v>
      </c>
      <c r="K28" s="13">
        <v>4</v>
      </c>
      <c r="L28" s="1">
        <v>3</v>
      </c>
      <c r="M28" s="1">
        <v>3</v>
      </c>
      <c r="N28" s="1">
        <v>8</v>
      </c>
      <c r="O28" s="1">
        <f t="shared" si="2"/>
        <v>6</v>
      </c>
      <c r="P28" s="7">
        <f t="shared" si="3"/>
        <v>3</v>
      </c>
      <c r="Q28" s="13">
        <v>3</v>
      </c>
      <c r="R28" s="1">
        <v>2</v>
      </c>
      <c r="S28" s="1">
        <v>2</v>
      </c>
      <c r="T28" s="1">
        <v>8</v>
      </c>
      <c r="U28" s="1">
        <f t="shared" si="4"/>
        <v>4</v>
      </c>
      <c r="V28" s="7">
        <f t="shared" si="5"/>
        <v>2</v>
      </c>
      <c r="W28" s="13">
        <v>2</v>
      </c>
      <c r="X28" s="1">
        <v>3</v>
      </c>
      <c r="Y28" s="1">
        <v>3</v>
      </c>
      <c r="Z28" s="1">
        <v>8</v>
      </c>
      <c r="AA28" s="1">
        <f t="shared" si="6"/>
        <v>6</v>
      </c>
      <c r="AB28" s="7">
        <f t="shared" si="7"/>
        <v>3</v>
      </c>
      <c r="AC28" s="13">
        <v>3</v>
      </c>
      <c r="AD28" s="1">
        <v>3</v>
      </c>
      <c r="AE28" s="1">
        <v>3</v>
      </c>
      <c r="AF28" s="1">
        <v>8</v>
      </c>
      <c r="AG28" s="1">
        <f t="shared" si="8"/>
        <v>6</v>
      </c>
      <c r="AH28" s="7">
        <f t="shared" si="9"/>
        <v>3</v>
      </c>
      <c r="AI28" s="1">
        <v>4</v>
      </c>
      <c r="AJ28" s="1">
        <v>3</v>
      </c>
      <c r="AK28" s="1">
        <v>8</v>
      </c>
      <c r="AL28" s="1">
        <f t="shared" si="10"/>
        <v>7</v>
      </c>
      <c r="AM28" s="7">
        <f t="shared" si="11"/>
        <v>3.5</v>
      </c>
      <c r="AN28" s="1">
        <v>3</v>
      </c>
      <c r="AO28" s="1">
        <v>3</v>
      </c>
      <c r="AP28" s="1">
        <v>8</v>
      </c>
      <c r="AQ28" s="1">
        <f t="shared" si="12"/>
        <v>6</v>
      </c>
      <c r="AR28" s="7">
        <f t="shared" si="13"/>
        <v>3</v>
      </c>
      <c r="AS28" s="1">
        <v>3</v>
      </c>
      <c r="AT28" s="1">
        <v>2</v>
      </c>
      <c r="AU28" s="1">
        <v>8</v>
      </c>
      <c r="AV28" s="1">
        <f t="shared" si="14"/>
        <v>5</v>
      </c>
      <c r="AW28" s="7">
        <f t="shared" si="15"/>
        <v>2.5</v>
      </c>
    </row>
    <row r="29" spans="1:49" x14ac:dyDescent="0.35">
      <c r="A29" s="1">
        <v>27</v>
      </c>
      <c r="B29" s="1" t="s">
        <v>50</v>
      </c>
      <c r="C29" s="1">
        <v>49</v>
      </c>
      <c r="D29" s="5" t="s">
        <v>87</v>
      </c>
      <c r="E29" s="1">
        <v>30</v>
      </c>
      <c r="F29" s="1">
        <v>4</v>
      </c>
      <c r="G29" s="1">
        <v>3</v>
      </c>
      <c r="H29" s="1">
        <v>8</v>
      </c>
      <c r="I29" s="1">
        <f t="shared" si="0"/>
        <v>7</v>
      </c>
      <c r="J29" s="7">
        <f t="shared" si="1"/>
        <v>3.5</v>
      </c>
      <c r="K29" s="13">
        <v>4</v>
      </c>
      <c r="L29" s="1">
        <v>3</v>
      </c>
      <c r="M29" s="1">
        <v>3</v>
      </c>
      <c r="N29" s="1">
        <v>8</v>
      </c>
      <c r="O29" s="1">
        <f t="shared" si="2"/>
        <v>6</v>
      </c>
      <c r="P29" s="7">
        <f t="shared" si="3"/>
        <v>3</v>
      </c>
      <c r="Q29" s="13">
        <v>3</v>
      </c>
      <c r="R29" s="1">
        <v>3</v>
      </c>
      <c r="S29" s="1">
        <v>3</v>
      </c>
      <c r="T29" s="1">
        <v>8</v>
      </c>
      <c r="U29" s="1">
        <f t="shared" si="4"/>
        <v>6</v>
      </c>
      <c r="V29" s="7">
        <f t="shared" si="5"/>
        <v>3</v>
      </c>
      <c r="W29" s="13">
        <v>3</v>
      </c>
      <c r="X29" s="1">
        <v>2</v>
      </c>
      <c r="Y29" s="1">
        <v>2</v>
      </c>
      <c r="Z29" s="1">
        <v>8</v>
      </c>
      <c r="AA29" s="1">
        <f t="shared" si="6"/>
        <v>4</v>
      </c>
      <c r="AB29" s="7">
        <f t="shared" si="7"/>
        <v>2</v>
      </c>
      <c r="AC29" s="13">
        <v>2</v>
      </c>
      <c r="AD29" s="1">
        <v>3</v>
      </c>
      <c r="AE29" s="1">
        <v>2</v>
      </c>
      <c r="AF29" s="1">
        <v>8</v>
      </c>
      <c r="AG29" s="1">
        <f t="shared" si="8"/>
        <v>5</v>
      </c>
      <c r="AH29" s="7">
        <f t="shared" si="9"/>
        <v>2.5</v>
      </c>
      <c r="AI29" s="1">
        <v>3</v>
      </c>
      <c r="AJ29" s="1">
        <v>3</v>
      </c>
      <c r="AK29" s="1">
        <v>8</v>
      </c>
      <c r="AL29" s="1">
        <f t="shared" si="10"/>
        <v>6</v>
      </c>
      <c r="AM29" s="7">
        <f t="shared" si="11"/>
        <v>3</v>
      </c>
      <c r="AN29" s="1">
        <v>3</v>
      </c>
      <c r="AO29" s="1">
        <v>2</v>
      </c>
      <c r="AP29" s="1">
        <v>8</v>
      </c>
      <c r="AQ29" s="1">
        <f t="shared" si="12"/>
        <v>5</v>
      </c>
      <c r="AR29" s="7">
        <f t="shared" si="13"/>
        <v>2.5</v>
      </c>
      <c r="AS29" s="1">
        <v>2</v>
      </c>
      <c r="AT29" s="1">
        <v>2</v>
      </c>
      <c r="AU29" s="1">
        <v>8</v>
      </c>
      <c r="AV29" s="1">
        <f t="shared" si="14"/>
        <v>4</v>
      </c>
      <c r="AW29" s="7">
        <f t="shared" si="15"/>
        <v>2</v>
      </c>
    </row>
    <row r="30" spans="1:49" x14ac:dyDescent="0.35">
      <c r="A30" s="1">
        <v>28</v>
      </c>
      <c r="B30" s="1" t="s">
        <v>51</v>
      </c>
      <c r="C30" s="1">
        <v>13</v>
      </c>
      <c r="D30" s="5" t="s">
        <v>86</v>
      </c>
      <c r="E30" s="1">
        <v>1</v>
      </c>
      <c r="F30" s="1">
        <v>3</v>
      </c>
      <c r="G30" s="1">
        <v>4</v>
      </c>
      <c r="H30" s="1">
        <v>8</v>
      </c>
      <c r="I30" s="1">
        <f t="shared" si="0"/>
        <v>7</v>
      </c>
      <c r="J30" s="7">
        <f t="shared" si="1"/>
        <v>3.5</v>
      </c>
      <c r="K30" s="13">
        <v>4</v>
      </c>
      <c r="L30" s="1">
        <v>3</v>
      </c>
      <c r="M30" s="1">
        <v>3</v>
      </c>
      <c r="N30" s="1">
        <v>8</v>
      </c>
      <c r="O30" s="1">
        <f t="shared" si="2"/>
        <v>6</v>
      </c>
      <c r="P30" s="7">
        <f t="shared" si="3"/>
        <v>3</v>
      </c>
      <c r="Q30" s="13">
        <v>3</v>
      </c>
      <c r="R30" s="1">
        <v>3</v>
      </c>
      <c r="S30" s="1">
        <v>3</v>
      </c>
      <c r="T30" s="1">
        <v>8</v>
      </c>
      <c r="U30" s="1">
        <f t="shared" si="4"/>
        <v>6</v>
      </c>
      <c r="V30" s="7">
        <f t="shared" si="5"/>
        <v>3</v>
      </c>
      <c r="W30" s="13">
        <v>3</v>
      </c>
      <c r="X30" s="1">
        <v>2</v>
      </c>
      <c r="Y30" s="1">
        <v>2</v>
      </c>
      <c r="Z30" s="1">
        <v>8</v>
      </c>
      <c r="AA30" s="1">
        <f t="shared" si="6"/>
        <v>4</v>
      </c>
      <c r="AB30" s="7">
        <f t="shared" si="7"/>
        <v>2</v>
      </c>
      <c r="AC30" s="13">
        <v>2</v>
      </c>
      <c r="AD30" s="1">
        <v>3</v>
      </c>
      <c r="AE30" s="1">
        <v>2</v>
      </c>
      <c r="AF30" s="1">
        <v>8</v>
      </c>
      <c r="AG30" s="1">
        <f t="shared" si="8"/>
        <v>5</v>
      </c>
      <c r="AH30" s="7">
        <f t="shared" si="9"/>
        <v>2.5</v>
      </c>
      <c r="AI30" s="1">
        <v>3</v>
      </c>
      <c r="AJ30" s="1">
        <v>2</v>
      </c>
      <c r="AK30" s="1">
        <v>8</v>
      </c>
      <c r="AL30" s="1">
        <f t="shared" si="10"/>
        <v>5</v>
      </c>
      <c r="AM30" s="7">
        <f t="shared" si="11"/>
        <v>2.5</v>
      </c>
      <c r="AN30" s="1">
        <v>3</v>
      </c>
      <c r="AO30" s="1">
        <v>2</v>
      </c>
      <c r="AP30" s="1">
        <v>8</v>
      </c>
      <c r="AQ30" s="1">
        <f t="shared" si="12"/>
        <v>5</v>
      </c>
      <c r="AR30" s="7">
        <f t="shared" si="13"/>
        <v>2.5</v>
      </c>
      <c r="AS30" s="1">
        <v>1</v>
      </c>
      <c r="AT30" s="1">
        <v>1</v>
      </c>
      <c r="AU30" s="1">
        <v>8</v>
      </c>
      <c r="AV30" s="1">
        <f t="shared" si="14"/>
        <v>2</v>
      </c>
      <c r="AW30" s="7">
        <f t="shared" si="15"/>
        <v>1</v>
      </c>
    </row>
    <row r="31" spans="1:49" x14ac:dyDescent="0.35">
      <c r="A31" s="1">
        <v>29</v>
      </c>
      <c r="B31" s="1" t="s">
        <v>52</v>
      </c>
      <c r="C31" s="1">
        <v>38</v>
      </c>
      <c r="D31" s="5" t="s">
        <v>83</v>
      </c>
      <c r="E31" s="1">
        <v>9</v>
      </c>
      <c r="F31" s="1">
        <v>4</v>
      </c>
      <c r="G31" s="1">
        <v>4</v>
      </c>
      <c r="H31" s="1">
        <v>8</v>
      </c>
      <c r="I31" s="1">
        <f t="shared" si="0"/>
        <v>8</v>
      </c>
      <c r="J31" s="7">
        <f t="shared" si="1"/>
        <v>4</v>
      </c>
      <c r="K31" s="13">
        <v>4</v>
      </c>
      <c r="L31" s="1">
        <v>3</v>
      </c>
      <c r="M31" s="1">
        <v>3</v>
      </c>
      <c r="N31" s="1">
        <v>8</v>
      </c>
      <c r="O31" s="1">
        <f t="shared" si="2"/>
        <v>6</v>
      </c>
      <c r="P31" s="7">
        <f t="shared" si="3"/>
        <v>3</v>
      </c>
      <c r="Q31" s="13">
        <v>3</v>
      </c>
      <c r="R31" s="1">
        <v>4</v>
      </c>
      <c r="S31" s="1">
        <v>3</v>
      </c>
      <c r="T31" s="1">
        <v>8</v>
      </c>
      <c r="U31" s="1">
        <f t="shared" si="4"/>
        <v>7</v>
      </c>
      <c r="V31" s="7">
        <f t="shared" si="5"/>
        <v>3.5</v>
      </c>
      <c r="W31" s="13">
        <v>4</v>
      </c>
      <c r="X31" s="1">
        <v>3</v>
      </c>
      <c r="Y31" s="1">
        <v>3</v>
      </c>
      <c r="Z31" s="1">
        <v>8</v>
      </c>
      <c r="AA31" s="1">
        <f t="shared" si="6"/>
        <v>6</v>
      </c>
      <c r="AB31" s="7">
        <f t="shared" si="7"/>
        <v>3</v>
      </c>
      <c r="AC31" s="13">
        <v>3</v>
      </c>
      <c r="AD31" s="1">
        <v>4</v>
      </c>
      <c r="AE31" s="1">
        <v>3</v>
      </c>
      <c r="AF31" s="1">
        <v>8</v>
      </c>
      <c r="AG31" s="1">
        <f t="shared" si="8"/>
        <v>7</v>
      </c>
      <c r="AH31" s="7">
        <f t="shared" si="9"/>
        <v>3.5</v>
      </c>
      <c r="AI31" s="1">
        <v>3</v>
      </c>
      <c r="AJ31" s="1">
        <v>3</v>
      </c>
      <c r="AK31" s="1">
        <v>8</v>
      </c>
      <c r="AL31" s="1">
        <f t="shared" si="10"/>
        <v>6</v>
      </c>
      <c r="AM31" s="7">
        <f t="shared" si="11"/>
        <v>3</v>
      </c>
      <c r="AN31" s="1">
        <v>2</v>
      </c>
      <c r="AO31" s="1">
        <v>2</v>
      </c>
      <c r="AP31" s="1">
        <v>8</v>
      </c>
      <c r="AQ31" s="1">
        <f t="shared" si="12"/>
        <v>4</v>
      </c>
      <c r="AR31" s="7">
        <f t="shared" si="13"/>
        <v>2</v>
      </c>
      <c r="AS31" s="1">
        <v>2</v>
      </c>
      <c r="AT31" s="1">
        <v>2</v>
      </c>
      <c r="AU31" s="1">
        <v>8</v>
      </c>
      <c r="AV31" s="1">
        <f t="shared" si="14"/>
        <v>4</v>
      </c>
      <c r="AW31" s="7">
        <f t="shared" si="15"/>
        <v>2</v>
      </c>
    </row>
    <row r="32" spans="1:49" x14ac:dyDescent="0.35">
      <c r="A32" s="1">
        <v>30</v>
      </c>
      <c r="B32" s="1" t="s">
        <v>58</v>
      </c>
      <c r="C32" s="1">
        <v>42</v>
      </c>
      <c r="D32" s="5" t="s">
        <v>83</v>
      </c>
      <c r="E32" s="1">
        <v>12</v>
      </c>
      <c r="F32" s="1">
        <v>3</v>
      </c>
      <c r="G32" s="1">
        <v>3</v>
      </c>
      <c r="H32" s="1">
        <v>8</v>
      </c>
      <c r="I32" s="1">
        <f t="shared" si="0"/>
        <v>6</v>
      </c>
      <c r="J32" s="7">
        <f t="shared" si="1"/>
        <v>3</v>
      </c>
      <c r="K32" s="13">
        <v>3</v>
      </c>
      <c r="L32" s="1">
        <v>4</v>
      </c>
      <c r="M32" s="1">
        <v>3</v>
      </c>
      <c r="N32" s="1">
        <v>8</v>
      </c>
      <c r="O32" s="1">
        <f t="shared" si="2"/>
        <v>7</v>
      </c>
      <c r="P32" s="7">
        <f t="shared" si="3"/>
        <v>3.5</v>
      </c>
      <c r="Q32" s="13">
        <v>4</v>
      </c>
      <c r="R32" s="1">
        <v>3</v>
      </c>
      <c r="S32" s="1">
        <v>3</v>
      </c>
      <c r="T32" s="1">
        <v>8</v>
      </c>
      <c r="U32" s="1">
        <f t="shared" si="4"/>
        <v>6</v>
      </c>
      <c r="V32" s="7">
        <f t="shared" si="5"/>
        <v>3</v>
      </c>
      <c r="W32" s="13">
        <v>3</v>
      </c>
      <c r="X32" s="1">
        <v>3</v>
      </c>
      <c r="Y32" s="1">
        <v>3</v>
      </c>
      <c r="Z32" s="1">
        <v>8</v>
      </c>
      <c r="AA32" s="1">
        <f t="shared" si="6"/>
        <v>6</v>
      </c>
      <c r="AB32" s="7">
        <f t="shared" si="7"/>
        <v>3</v>
      </c>
      <c r="AC32" s="13">
        <v>3</v>
      </c>
      <c r="AD32" s="1">
        <v>3</v>
      </c>
      <c r="AE32" s="1">
        <v>3</v>
      </c>
      <c r="AF32" s="1">
        <v>8</v>
      </c>
      <c r="AG32" s="1">
        <f t="shared" si="8"/>
        <v>6</v>
      </c>
      <c r="AH32" s="7">
        <f t="shared" si="9"/>
        <v>3</v>
      </c>
      <c r="AI32" s="1">
        <v>2</v>
      </c>
      <c r="AJ32" s="1">
        <v>3</v>
      </c>
      <c r="AK32" s="1">
        <v>8</v>
      </c>
      <c r="AL32" s="1">
        <f t="shared" si="10"/>
        <v>5</v>
      </c>
      <c r="AM32" s="7">
        <f t="shared" si="11"/>
        <v>2.5</v>
      </c>
      <c r="AN32" s="1">
        <v>2</v>
      </c>
      <c r="AO32" s="1">
        <v>3</v>
      </c>
      <c r="AP32" s="1">
        <v>8</v>
      </c>
      <c r="AQ32" s="1">
        <f t="shared" si="12"/>
        <v>5</v>
      </c>
      <c r="AR32" s="7">
        <f t="shared" si="13"/>
        <v>2.5</v>
      </c>
      <c r="AS32" s="1">
        <v>2</v>
      </c>
      <c r="AT32" s="1">
        <v>2</v>
      </c>
      <c r="AU32" s="1">
        <v>8</v>
      </c>
      <c r="AV32" s="1">
        <f t="shared" si="14"/>
        <v>4</v>
      </c>
      <c r="AW32" s="7">
        <f t="shared" si="15"/>
        <v>2</v>
      </c>
    </row>
    <row r="33" spans="1:49" x14ac:dyDescent="0.35">
      <c r="A33" s="1">
        <v>31</v>
      </c>
      <c r="B33" s="1" t="s">
        <v>53</v>
      </c>
      <c r="C33" s="1">
        <v>33</v>
      </c>
      <c r="D33" s="5" t="s">
        <v>87</v>
      </c>
      <c r="E33" s="1">
        <v>14</v>
      </c>
      <c r="F33" s="1">
        <v>3</v>
      </c>
      <c r="G33" s="1">
        <v>3</v>
      </c>
      <c r="H33" s="1">
        <v>8</v>
      </c>
      <c r="I33" s="1">
        <f t="shared" si="0"/>
        <v>6</v>
      </c>
      <c r="J33" s="7">
        <f t="shared" si="1"/>
        <v>3</v>
      </c>
      <c r="K33" s="13">
        <v>3</v>
      </c>
      <c r="L33" s="1">
        <v>3</v>
      </c>
      <c r="M33" s="1">
        <v>3</v>
      </c>
      <c r="N33" s="1">
        <v>8</v>
      </c>
      <c r="O33" s="1">
        <f t="shared" si="2"/>
        <v>6</v>
      </c>
      <c r="P33" s="7">
        <f t="shared" si="3"/>
        <v>3</v>
      </c>
      <c r="Q33" s="13">
        <v>3</v>
      </c>
      <c r="R33" s="1">
        <v>4</v>
      </c>
      <c r="S33" s="1">
        <v>4</v>
      </c>
      <c r="T33" s="1">
        <v>8</v>
      </c>
      <c r="U33" s="1">
        <f t="shared" si="4"/>
        <v>8</v>
      </c>
      <c r="V33" s="7">
        <f t="shared" si="5"/>
        <v>4</v>
      </c>
      <c r="W33" s="13">
        <v>4</v>
      </c>
      <c r="X33" s="1">
        <v>3</v>
      </c>
      <c r="Y33" s="1">
        <v>3</v>
      </c>
      <c r="Z33" s="1">
        <v>8</v>
      </c>
      <c r="AA33" s="1">
        <f t="shared" si="6"/>
        <v>6</v>
      </c>
      <c r="AB33" s="7">
        <f t="shared" si="7"/>
        <v>3</v>
      </c>
      <c r="AC33" s="13">
        <v>3</v>
      </c>
      <c r="AD33" s="1">
        <v>3</v>
      </c>
      <c r="AE33" s="1">
        <v>3</v>
      </c>
      <c r="AF33" s="1">
        <v>8</v>
      </c>
      <c r="AG33" s="1">
        <f t="shared" si="8"/>
        <v>6</v>
      </c>
      <c r="AH33" s="7">
        <f t="shared" si="9"/>
        <v>3</v>
      </c>
      <c r="AI33" s="1">
        <v>2</v>
      </c>
      <c r="AJ33" s="1">
        <v>3</v>
      </c>
      <c r="AK33" s="1">
        <v>8</v>
      </c>
      <c r="AL33" s="1">
        <f t="shared" si="10"/>
        <v>5</v>
      </c>
      <c r="AM33" s="7">
        <f t="shared" si="11"/>
        <v>2.5</v>
      </c>
      <c r="AN33" s="1">
        <v>2</v>
      </c>
      <c r="AO33" s="1">
        <v>3</v>
      </c>
      <c r="AP33" s="1">
        <v>8</v>
      </c>
      <c r="AQ33" s="1">
        <f t="shared" si="12"/>
        <v>5</v>
      </c>
      <c r="AR33" s="7">
        <f t="shared" si="13"/>
        <v>2.5</v>
      </c>
      <c r="AS33" s="1">
        <v>2</v>
      </c>
      <c r="AT33" s="1">
        <v>2</v>
      </c>
      <c r="AU33" s="1">
        <v>8</v>
      </c>
      <c r="AV33" s="1">
        <f t="shared" si="14"/>
        <v>4</v>
      </c>
      <c r="AW33" s="7">
        <f t="shared" si="15"/>
        <v>2</v>
      </c>
    </row>
    <row r="34" spans="1:49" x14ac:dyDescent="0.35">
      <c r="A34" s="1">
        <v>32</v>
      </c>
      <c r="B34" s="1" t="s">
        <v>54</v>
      </c>
      <c r="C34" s="1">
        <v>38</v>
      </c>
      <c r="D34" s="5" t="s">
        <v>87</v>
      </c>
      <c r="E34" s="1">
        <v>15</v>
      </c>
      <c r="F34" s="1">
        <v>3</v>
      </c>
      <c r="G34" s="1">
        <v>3</v>
      </c>
      <c r="H34" s="1">
        <v>8</v>
      </c>
      <c r="I34" s="1">
        <f t="shared" si="0"/>
        <v>6</v>
      </c>
      <c r="J34" s="7">
        <f t="shared" si="1"/>
        <v>3</v>
      </c>
      <c r="K34" s="13">
        <v>3</v>
      </c>
      <c r="L34" s="1">
        <v>4</v>
      </c>
      <c r="M34" s="1">
        <v>3</v>
      </c>
      <c r="N34" s="1">
        <v>8</v>
      </c>
      <c r="O34" s="1">
        <f t="shared" si="2"/>
        <v>7</v>
      </c>
      <c r="P34" s="7">
        <f t="shared" si="3"/>
        <v>3.5</v>
      </c>
      <c r="Q34" s="13">
        <v>4</v>
      </c>
      <c r="R34" s="1">
        <v>3</v>
      </c>
      <c r="S34" s="1">
        <v>3</v>
      </c>
      <c r="T34" s="1">
        <v>8</v>
      </c>
      <c r="U34" s="1">
        <f t="shared" si="4"/>
        <v>6</v>
      </c>
      <c r="V34" s="7">
        <f t="shared" si="5"/>
        <v>3</v>
      </c>
      <c r="W34" s="13">
        <v>3</v>
      </c>
      <c r="X34" s="1">
        <v>3</v>
      </c>
      <c r="Y34" s="1">
        <v>3</v>
      </c>
      <c r="Z34" s="1">
        <v>8</v>
      </c>
      <c r="AA34" s="1">
        <f t="shared" si="6"/>
        <v>6</v>
      </c>
      <c r="AB34" s="7">
        <f t="shared" si="7"/>
        <v>3</v>
      </c>
      <c r="AC34" s="13">
        <v>3</v>
      </c>
      <c r="AD34" s="1">
        <v>4</v>
      </c>
      <c r="AE34" s="1">
        <v>4</v>
      </c>
      <c r="AF34" s="1">
        <v>8</v>
      </c>
      <c r="AG34" s="1">
        <f t="shared" si="8"/>
        <v>8</v>
      </c>
      <c r="AH34" s="7">
        <f t="shared" si="9"/>
        <v>4</v>
      </c>
      <c r="AI34" s="1">
        <v>3</v>
      </c>
      <c r="AJ34" s="1">
        <v>3</v>
      </c>
      <c r="AK34" s="1">
        <v>8</v>
      </c>
      <c r="AL34" s="1">
        <f t="shared" si="10"/>
        <v>6</v>
      </c>
      <c r="AM34" s="7">
        <f t="shared" si="11"/>
        <v>3</v>
      </c>
      <c r="AN34" s="1">
        <v>3</v>
      </c>
      <c r="AO34" s="1">
        <v>3</v>
      </c>
      <c r="AP34" s="1">
        <v>8</v>
      </c>
      <c r="AQ34" s="1">
        <f t="shared" si="12"/>
        <v>6</v>
      </c>
      <c r="AR34" s="7">
        <f t="shared" si="13"/>
        <v>3</v>
      </c>
      <c r="AS34" s="1">
        <v>2</v>
      </c>
      <c r="AT34" s="1">
        <v>2</v>
      </c>
      <c r="AU34" s="1">
        <v>8</v>
      </c>
      <c r="AV34" s="1">
        <f t="shared" si="14"/>
        <v>4</v>
      </c>
      <c r="AW34" s="7">
        <f t="shared" si="15"/>
        <v>2</v>
      </c>
    </row>
    <row r="35" spans="1:49" x14ac:dyDescent="0.35">
      <c r="A35" s="1">
        <v>33</v>
      </c>
      <c r="B35" s="1" t="s">
        <v>55</v>
      </c>
      <c r="C35" s="1">
        <v>58</v>
      </c>
      <c r="D35" s="5" t="s">
        <v>83</v>
      </c>
      <c r="E35" s="1">
        <v>20</v>
      </c>
      <c r="F35" s="1">
        <v>3</v>
      </c>
      <c r="G35" s="1">
        <v>4</v>
      </c>
      <c r="H35" s="1">
        <v>8</v>
      </c>
      <c r="I35" s="1">
        <f t="shared" si="0"/>
        <v>7</v>
      </c>
      <c r="J35" s="7">
        <f t="shared" si="1"/>
        <v>3.5</v>
      </c>
      <c r="K35" s="13">
        <v>4</v>
      </c>
      <c r="L35" s="1">
        <v>3</v>
      </c>
      <c r="M35" s="1">
        <v>3</v>
      </c>
      <c r="N35" s="1">
        <v>8</v>
      </c>
      <c r="O35" s="1">
        <f t="shared" si="2"/>
        <v>6</v>
      </c>
      <c r="P35" s="7">
        <f t="shared" si="3"/>
        <v>3</v>
      </c>
      <c r="Q35" s="13">
        <v>3</v>
      </c>
      <c r="R35" s="1">
        <v>3</v>
      </c>
      <c r="S35" s="1">
        <v>3</v>
      </c>
      <c r="T35" s="1">
        <v>8</v>
      </c>
      <c r="U35" s="1">
        <f t="shared" si="4"/>
        <v>6</v>
      </c>
      <c r="V35" s="7">
        <f t="shared" si="5"/>
        <v>3</v>
      </c>
      <c r="W35" s="13">
        <v>3</v>
      </c>
      <c r="X35" s="1">
        <v>3</v>
      </c>
      <c r="Y35" s="1">
        <v>3</v>
      </c>
      <c r="Z35" s="1">
        <v>8</v>
      </c>
      <c r="AA35" s="1">
        <f t="shared" si="6"/>
        <v>6</v>
      </c>
      <c r="AB35" s="7">
        <f t="shared" si="7"/>
        <v>3</v>
      </c>
      <c r="AC35" s="13">
        <v>3</v>
      </c>
      <c r="AD35" s="1">
        <v>3</v>
      </c>
      <c r="AE35" s="1">
        <v>4</v>
      </c>
      <c r="AF35" s="1">
        <v>8</v>
      </c>
      <c r="AG35" s="1">
        <f t="shared" si="8"/>
        <v>7</v>
      </c>
      <c r="AH35" s="7">
        <f t="shared" si="9"/>
        <v>3.5</v>
      </c>
      <c r="AI35" s="1">
        <v>3</v>
      </c>
      <c r="AJ35" s="1">
        <v>3</v>
      </c>
      <c r="AK35" s="1">
        <v>8</v>
      </c>
      <c r="AL35" s="1">
        <f t="shared" si="10"/>
        <v>6</v>
      </c>
      <c r="AM35" s="7">
        <f t="shared" si="11"/>
        <v>3</v>
      </c>
      <c r="AN35" s="1">
        <v>3</v>
      </c>
      <c r="AO35" s="1">
        <v>3</v>
      </c>
      <c r="AP35" s="1">
        <v>8</v>
      </c>
      <c r="AQ35" s="1">
        <f t="shared" si="12"/>
        <v>6</v>
      </c>
      <c r="AR35" s="7">
        <f t="shared" si="13"/>
        <v>3</v>
      </c>
      <c r="AS35" s="1">
        <v>2</v>
      </c>
      <c r="AT35" s="1">
        <v>2</v>
      </c>
      <c r="AU35" s="1">
        <v>8</v>
      </c>
      <c r="AV35" s="1">
        <f t="shared" si="14"/>
        <v>4</v>
      </c>
      <c r="AW35" s="7">
        <f t="shared" si="15"/>
        <v>2</v>
      </c>
    </row>
    <row r="36" spans="1:49" x14ac:dyDescent="0.35">
      <c r="A36" s="1">
        <v>34</v>
      </c>
      <c r="B36" s="1" t="s">
        <v>56</v>
      </c>
      <c r="C36" s="1">
        <v>30</v>
      </c>
      <c r="D36" s="5" t="s">
        <v>83</v>
      </c>
      <c r="E36" s="1">
        <v>10</v>
      </c>
      <c r="F36" s="1">
        <v>4</v>
      </c>
      <c r="G36" s="1">
        <v>4</v>
      </c>
      <c r="H36" s="1">
        <v>8</v>
      </c>
      <c r="I36" s="1">
        <f t="shared" si="0"/>
        <v>8</v>
      </c>
      <c r="J36" s="7">
        <f t="shared" si="1"/>
        <v>4</v>
      </c>
      <c r="K36" s="13">
        <v>4</v>
      </c>
      <c r="L36" s="1">
        <v>3</v>
      </c>
      <c r="M36" s="1">
        <v>3</v>
      </c>
      <c r="N36" s="1">
        <v>8</v>
      </c>
      <c r="O36" s="1">
        <f t="shared" si="2"/>
        <v>6</v>
      </c>
      <c r="P36" s="7">
        <f t="shared" si="3"/>
        <v>3</v>
      </c>
      <c r="Q36" s="13">
        <v>3</v>
      </c>
      <c r="R36" s="1">
        <v>3</v>
      </c>
      <c r="S36" s="1">
        <v>3</v>
      </c>
      <c r="T36" s="1">
        <v>8</v>
      </c>
      <c r="U36" s="1">
        <f t="shared" si="4"/>
        <v>6</v>
      </c>
      <c r="V36" s="7">
        <f t="shared" si="5"/>
        <v>3</v>
      </c>
      <c r="W36" s="13">
        <v>3</v>
      </c>
      <c r="X36" s="1">
        <v>3</v>
      </c>
      <c r="Y36" s="1">
        <v>3</v>
      </c>
      <c r="Z36" s="1">
        <v>8</v>
      </c>
      <c r="AA36" s="1">
        <f t="shared" si="6"/>
        <v>6</v>
      </c>
      <c r="AB36" s="7">
        <f t="shared" si="7"/>
        <v>3</v>
      </c>
      <c r="AC36" s="13">
        <v>3</v>
      </c>
      <c r="AD36" s="1">
        <v>4</v>
      </c>
      <c r="AE36" s="1">
        <v>4</v>
      </c>
      <c r="AF36" s="1">
        <v>8</v>
      </c>
      <c r="AG36" s="1">
        <f t="shared" si="8"/>
        <v>8</v>
      </c>
      <c r="AH36" s="7">
        <f t="shared" si="9"/>
        <v>4</v>
      </c>
      <c r="AI36" s="1">
        <v>3</v>
      </c>
      <c r="AJ36" s="1">
        <v>3</v>
      </c>
      <c r="AK36" s="1">
        <v>8</v>
      </c>
      <c r="AL36" s="1">
        <f t="shared" si="10"/>
        <v>6</v>
      </c>
      <c r="AM36" s="7">
        <f t="shared" si="11"/>
        <v>3</v>
      </c>
      <c r="AN36" s="1">
        <v>2</v>
      </c>
      <c r="AO36" s="1">
        <v>3</v>
      </c>
      <c r="AP36" s="1">
        <v>8</v>
      </c>
      <c r="AQ36" s="1">
        <f t="shared" si="12"/>
        <v>5</v>
      </c>
      <c r="AR36" s="7">
        <f t="shared" si="13"/>
        <v>2.5</v>
      </c>
      <c r="AS36" s="1">
        <v>1</v>
      </c>
      <c r="AT36" s="1">
        <v>1</v>
      </c>
      <c r="AU36" s="1">
        <v>8</v>
      </c>
      <c r="AV36" s="1">
        <f t="shared" si="14"/>
        <v>2</v>
      </c>
      <c r="AW36" s="7">
        <f t="shared" si="15"/>
        <v>1</v>
      </c>
    </row>
    <row r="37" spans="1:49" x14ac:dyDescent="0.35">
      <c r="A37" s="1">
        <v>35</v>
      </c>
      <c r="B37" s="1" t="s">
        <v>57</v>
      </c>
      <c r="C37" s="1">
        <v>47</v>
      </c>
      <c r="D37" s="5" t="s">
        <v>83</v>
      </c>
      <c r="E37" s="1">
        <v>22</v>
      </c>
      <c r="F37" s="1">
        <v>4</v>
      </c>
      <c r="G37" s="1">
        <v>4</v>
      </c>
      <c r="H37" s="1">
        <v>8</v>
      </c>
      <c r="I37" s="1">
        <f t="shared" si="0"/>
        <v>8</v>
      </c>
      <c r="J37" s="7">
        <f t="shared" si="1"/>
        <v>4</v>
      </c>
      <c r="K37" s="13">
        <v>4</v>
      </c>
      <c r="L37" s="1">
        <v>3</v>
      </c>
      <c r="M37" s="1">
        <v>3</v>
      </c>
      <c r="N37" s="1">
        <v>8</v>
      </c>
      <c r="O37" s="1">
        <f t="shared" si="2"/>
        <v>6</v>
      </c>
      <c r="P37" s="7">
        <f t="shared" si="3"/>
        <v>3</v>
      </c>
      <c r="Q37" s="13">
        <v>3</v>
      </c>
      <c r="R37" s="1">
        <v>4</v>
      </c>
      <c r="S37" s="1">
        <v>4</v>
      </c>
      <c r="T37" s="1">
        <v>8</v>
      </c>
      <c r="U37" s="1">
        <f t="shared" si="4"/>
        <v>8</v>
      </c>
      <c r="V37" s="7">
        <f t="shared" si="5"/>
        <v>4</v>
      </c>
      <c r="W37" s="13">
        <v>4</v>
      </c>
      <c r="X37" s="1">
        <v>3</v>
      </c>
      <c r="Y37" s="1">
        <v>3</v>
      </c>
      <c r="Z37" s="1">
        <v>8</v>
      </c>
      <c r="AA37" s="1">
        <f t="shared" si="6"/>
        <v>6</v>
      </c>
      <c r="AB37" s="7">
        <f t="shared" si="7"/>
        <v>3</v>
      </c>
      <c r="AC37" s="13">
        <v>3</v>
      </c>
      <c r="AD37" s="1">
        <v>3</v>
      </c>
      <c r="AE37" s="1">
        <v>3</v>
      </c>
      <c r="AF37" s="1">
        <v>8</v>
      </c>
      <c r="AG37" s="1">
        <f t="shared" si="8"/>
        <v>6</v>
      </c>
      <c r="AH37" s="7">
        <f t="shared" si="9"/>
        <v>3</v>
      </c>
      <c r="AI37" s="1">
        <v>3</v>
      </c>
      <c r="AJ37" s="1">
        <v>3</v>
      </c>
      <c r="AK37" s="1">
        <v>8</v>
      </c>
      <c r="AL37" s="1">
        <f t="shared" si="10"/>
        <v>6</v>
      </c>
      <c r="AM37" s="7">
        <f t="shared" si="11"/>
        <v>3</v>
      </c>
      <c r="AN37" s="1">
        <v>2</v>
      </c>
      <c r="AO37" s="1">
        <v>2</v>
      </c>
      <c r="AP37" s="1">
        <v>8</v>
      </c>
      <c r="AQ37" s="1">
        <f t="shared" si="12"/>
        <v>4</v>
      </c>
      <c r="AR37" s="7">
        <f t="shared" si="13"/>
        <v>2</v>
      </c>
      <c r="AS37" s="1">
        <v>3</v>
      </c>
      <c r="AT37" s="1">
        <v>2</v>
      </c>
      <c r="AU37" s="1">
        <v>8</v>
      </c>
      <c r="AV37" s="1">
        <f t="shared" si="14"/>
        <v>5</v>
      </c>
      <c r="AW37" s="7">
        <f t="shared" si="15"/>
        <v>2.5</v>
      </c>
    </row>
    <row r="38" spans="1:49" x14ac:dyDescent="0.35">
      <c r="A38" s="1">
        <v>36</v>
      </c>
      <c r="B38" s="1" t="s">
        <v>59</v>
      </c>
      <c r="C38" s="1">
        <v>27</v>
      </c>
      <c r="D38" s="5" t="s">
        <v>85</v>
      </c>
      <c r="E38" s="1">
        <v>8</v>
      </c>
      <c r="F38" s="1">
        <v>4</v>
      </c>
      <c r="G38" s="1">
        <v>4</v>
      </c>
      <c r="H38" s="1">
        <v>8</v>
      </c>
      <c r="I38" s="1">
        <f t="shared" si="0"/>
        <v>8</v>
      </c>
      <c r="J38" s="7">
        <f t="shared" si="1"/>
        <v>4</v>
      </c>
      <c r="K38" s="13">
        <v>4</v>
      </c>
      <c r="L38" s="1">
        <v>3</v>
      </c>
      <c r="M38" s="1">
        <v>4</v>
      </c>
      <c r="N38" s="1">
        <v>8</v>
      </c>
      <c r="O38" s="1">
        <f t="shared" si="2"/>
        <v>7</v>
      </c>
      <c r="P38" s="7">
        <f t="shared" si="3"/>
        <v>3.5</v>
      </c>
      <c r="Q38" s="13">
        <v>4</v>
      </c>
      <c r="R38" s="1">
        <v>3</v>
      </c>
      <c r="S38" s="1">
        <v>3</v>
      </c>
      <c r="T38" s="1">
        <v>8</v>
      </c>
      <c r="U38" s="1">
        <f t="shared" si="4"/>
        <v>6</v>
      </c>
      <c r="V38" s="7">
        <f t="shared" si="5"/>
        <v>3</v>
      </c>
      <c r="W38" s="13">
        <v>3</v>
      </c>
      <c r="X38" s="1">
        <v>3</v>
      </c>
      <c r="Y38" s="1">
        <v>3</v>
      </c>
      <c r="Z38" s="1">
        <v>8</v>
      </c>
      <c r="AA38" s="1">
        <f t="shared" si="6"/>
        <v>6</v>
      </c>
      <c r="AB38" s="7">
        <f t="shared" si="7"/>
        <v>3</v>
      </c>
      <c r="AC38" s="13">
        <v>3</v>
      </c>
      <c r="AD38" s="1">
        <v>4</v>
      </c>
      <c r="AE38" s="1">
        <v>4</v>
      </c>
      <c r="AF38" s="1">
        <v>8</v>
      </c>
      <c r="AG38" s="1">
        <f t="shared" si="8"/>
        <v>8</v>
      </c>
      <c r="AH38" s="7">
        <f t="shared" si="9"/>
        <v>4</v>
      </c>
      <c r="AI38" s="1">
        <v>3</v>
      </c>
      <c r="AJ38" s="1">
        <v>3</v>
      </c>
      <c r="AK38" s="1">
        <v>8</v>
      </c>
      <c r="AL38" s="1">
        <f t="shared" si="10"/>
        <v>6</v>
      </c>
      <c r="AM38" s="7">
        <f t="shared" si="11"/>
        <v>3</v>
      </c>
      <c r="AN38" s="1">
        <v>2</v>
      </c>
      <c r="AO38" s="1">
        <v>2</v>
      </c>
      <c r="AP38" s="1">
        <v>8</v>
      </c>
      <c r="AQ38" s="1">
        <f t="shared" si="12"/>
        <v>4</v>
      </c>
      <c r="AR38" s="7">
        <f t="shared" si="13"/>
        <v>2</v>
      </c>
      <c r="AS38" s="1">
        <v>2</v>
      </c>
      <c r="AT38" s="1">
        <v>2</v>
      </c>
      <c r="AU38" s="1">
        <v>8</v>
      </c>
      <c r="AV38" s="1">
        <f t="shared" si="14"/>
        <v>4</v>
      </c>
      <c r="AW38" s="7">
        <f t="shared" si="15"/>
        <v>2</v>
      </c>
    </row>
    <row r="39" spans="1:49" x14ac:dyDescent="0.35">
      <c r="A39" s="1">
        <v>37</v>
      </c>
      <c r="B39" s="1" t="s">
        <v>60</v>
      </c>
      <c r="C39" s="1">
        <v>45</v>
      </c>
      <c r="D39" s="5" t="s">
        <v>83</v>
      </c>
      <c r="E39" s="1">
        <v>17</v>
      </c>
      <c r="F39" s="1">
        <v>4</v>
      </c>
      <c r="G39" s="1">
        <v>4</v>
      </c>
      <c r="H39" s="1">
        <v>8</v>
      </c>
      <c r="I39" s="1">
        <f t="shared" si="0"/>
        <v>8</v>
      </c>
      <c r="J39" s="7">
        <f t="shared" si="1"/>
        <v>4</v>
      </c>
      <c r="K39" s="13">
        <v>4</v>
      </c>
      <c r="L39" s="1">
        <v>3</v>
      </c>
      <c r="M39" s="1">
        <v>3</v>
      </c>
      <c r="N39" s="1">
        <v>8</v>
      </c>
      <c r="O39" s="1">
        <f t="shared" si="2"/>
        <v>6</v>
      </c>
      <c r="P39" s="7">
        <f t="shared" si="3"/>
        <v>3</v>
      </c>
      <c r="Q39" s="13">
        <v>3</v>
      </c>
      <c r="R39" s="1">
        <v>4</v>
      </c>
      <c r="S39" s="1">
        <v>3</v>
      </c>
      <c r="T39" s="1">
        <v>8</v>
      </c>
      <c r="U39" s="1">
        <f t="shared" si="4"/>
        <v>7</v>
      </c>
      <c r="V39" s="7">
        <f t="shared" si="5"/>
        <v>3.5</v>
      </c>
      <c r="W39" s="13">
        <v>4</v>
      </c>
      <c r="X39" s="1">
        <v>3</v>
      </c>
      <c r="Y39" s="1">
        <v>2</v>
      </c>
      <c r="Z39" s="1">
        <v>8</v>
      </c>
      <c r="AA39" s="1">
        <f t="shared" si="6"/>
        <v>5</v>
      </c>
      <c r="AB39" s="7">
        <f t="shared" si="7"/>
        <v>2.5</v>
      </c>
      <c r="AC39" s="13">
        <v>3</v>
      </c>
      <c r="AD39" s="1">
        <v>4</v>
      </c>
      <c r="AE39" s="1">
        <v>4</v>
      </c>
      <c r="AF39" s="1">
        <v>8</v>
      </c>
      <c r="AG39" s="1">
        <f t="shared" si="8"/>
        <v>8</v>
      </c>
      <c r="AH39" s="7">
        <f t="shared" si="9"/>
        <v>4</v>
      </c>
      <c r="AI39" s="1">
        <v>3</v>
      </c>
      <c r="AJ39" s="1">
        <v>3</v>
      </c>
      <c r="AK39" s="1">
        <v>8</v>
      </c>
      <c r="AL39" s="1">
        <f t="shared" si="10"/>
        <v>6</v>
      </c>
      <c r="AM39" s="7">
        <f t="shared" si="11"/>
        <v>3</v>
      </c>
      <c r="AN39" s="1">
        <v>2</v>
      </c>
      <c r="AO39" s="1">
        <v>2</v>
      </c>
      <c r="AP39" s="1">
        <v>8</v>
      </c>
      <c r="AQ39" s="1">
        <f t="shared" si="12"/>
        <v>4</v>
      </c>
      <c r="AR39" s="7">
        <f t="shared" si="13"/>
        <v>2</v>
      </c>
      <c r="AS39" s="1">
        <v>2</v>
      </c>
      <c r="AT39" s="1">
        <v>2</v>
      </c>
      <c r="AU39" s="1">
        <v>8</v>
      </c>
      <c r="AV39" s="1">
        <f t="shared" si="14"/>
        <v>4</v>
      </c>
      <c r="AW39" s="7">
        <f t="shared" si="15"/>
        <v>2</v>
      </c>
    </row>
    <row r="40" spans="1:49" x14ac:dyDescent="0.35">
      <c r="A40" s="1">
        <v>38</v>
      </c>
      <c r="B40" s="1" t="s">
        <v>61</v>
      </c>
      <c r="C40" s="1">
        <v>35</v>
      </c>
      <c r="D40" s="5" t="s">
        <v>87</v>
      </c>
      <c r="E40" s="1">
        <v>10</v>
      </c>
      <c r="F40" s="1">
        <v>4</v>
      </c>
      <c r="G40" s="1">
        <v>4</v>
      </c>
      <c r="H40" s="1">
        <v>8</v>
      </c>
      <c r="I40" s="1">
        <f t="shared" si="0"/>
        <v>8</v>
      </c>
      <c r="J40" s="7">
        <f t="shared" si="1"/>
        <v>4</v>
      </c>
      <c r="K40" s="13">
        <v>4</v>
      </c>
      <c r="L40" s="1">
        <v>3</v>
      </c>
      <c r="M40" s="1">
        <v>3</v>
      </c>
      <c r="N40" s="1">
        <v>8</v>
      </c>
      <c r="O40" s="1">
        <f t="shared" si="2"/>
        <v>6</v>
      </c>
      <c r="P40" s="7">
        <f t="shared" si="3"/>
        <v>3</v>
      </c>
      <c r="Q40" s="13">
        <v>3</v>
      </c>
      <c r="R40" s="1">
        <v>3</v>
      </c>
      <c r="S40" s="1">
        <v>4</v>
      </c>
      <c r="T40" s="1">
        <v>8</v>
      </c>
      <c r="U40" s="1">
        <f t="shared" si="4"/>
        <v>7</v>
      </c>
      <c r="V40" s="7">
        <f t="shared" si="5"/>
        <v>3.5</v>
      </c>
      <c r="W40" s="13">
        <v>4</v>
      </c>
      <c r="X40" s="1">
        <v>2</v>
      </c>
      <c r="Y40" s="1">
        <v>3</v>
      </c>
      <c r="Z40" s="1">
        <v>8</v>
      </c>
      <c r="AA40" s="1">
        <f t="shared" si="6"/>
        <v>5</v>
      </c>
      <c r="AB40" s="7">
        <f t="shared" si="7"/>
        <v>2.5</v>
      </c>
      <c r="AC40" s="13">
        <v>3</v>
      </c>
      <c r="AD40" s="1">
        <v>3</v>
      </c>
      <c r="AE40" s="1">
        <v>4</v>
      </c>
      <c r="AF40" s="1">
        <v>8</v>
      </c>
      <c r="AG40" s="1">
        <f t="shared" si="8"/>
        <v>7</v>
      </c>
      <c r="AH40" s="7">
        <f t="shared" si="9"/>
        <v>3.5</v>
      </c>
      <c r="AI40" s="1">
        <v>3</v>
      </c>
      <c r="AJ40" s="1">
        <v>3</v>
      </c>
      <c r="AK40" s="1">
        <v>8</v>
      </c>
      <c r="AL40" s="1">
        <f t="shared" si="10"/>
        <v>6</v>
      </c>
      <c r="AM40" s="7">
        <f t="shared" si="11"/>
        <v>3</v>
      </c>
      <c r="AN40" s="1">
        <v>3</v>
      </c>
      <c r="AO40" s="1">
        <v>2</v>
      </c>
      <c r="AP40" s="1">
        <v>8</v>
      </c>
      <c r="AQ40" s="1">
        <f t="shared" si="12"/>
        <v>5</v>
      </c>
      <c r="AR40" s="7">
        <f t="shared" si="13"/>
        <v>2.5</v>
      </c>
      <c r="AS40" s="1">
        <v>2</v>
      </c>
      <c r="AT40" s="1">
        <v>2</v>
      </c>
      <c r="AU40" s="1">
        <v>8</v>
      </c>
      <c r="AV40" s="1">
        <f t="shared" si="14"/>
        <v>4</v>
      </c>
      <c r="AW40" s="7">
        <f t="shared" si="15"/>
        <v>2</v>
      </c>
    </row>
    <row r="41" spans="1:49" x14ac:dyDescent="0.35">
      <c r="A41" s="1">
        <v>39</v>
      </c>
      <c r="B41" s="1" t="s">
        <v>62</v>
      </c>
      <c r="C41" s="1">
        <v>44</v>
      </c>
      <c r="D41" s="5" t="s">
        <v>87</v>
      </c>
      <c r="E41" s="1">
        <v>13</v>
      </c>
      <c r="F41" s="1">
        <v>4</v>
      </c>
      <c r="G41" s="1">
        <v>3</v>
      </c>
      <c r="H41" s="1">
        <v>8</v>
      </c>
      <c r="I41" s="1">
        <f t="shared" si="0"/>
        <v>7</v>
      </c>
      <c r="J41" s="7">
        <f t="shared" si="1"/>
        <v>3.5</v>
      </c>
      <c r="K41" s="13">
        <v>4</v>
      </c>
      <c r="L41" s="1">
        <v>3</v>
      </c>
      <c r="M41" s="1">
        <v>3</v>
      </c>
      <c r="N41" s="1">
        <v>8</v>
      </c>
      <c r="O41" s="1">
        <f t="shared" si="2"/>
        <v>6</v>
      </c>
      <c r="P41" s="7">
        <f t="shared" si="3"/>
        <v>3</v>
      </c>
      <c r="Q41" s="13">
        <v>3</v>
      </c>
      <c r="R41" s="1">
        <v>4</v>
      </c>
      <c r="S41" s="1">
        <v>3</v>
      </c>
      <c r="T41" s="1">
        <v>8</v>
      </c>
      <c r="U41" s="1">
        <f t="shared" si="4"/>
        <v>7</v>
      </c>
      <c r="V41" s="7">
        <f t="shared" si="5"/>
        <v>3.5</v>
      </c>
      <c r="W41" s="13">
        <v>4</v>
      </c>
      <c r="X41" s="1">
        <v>2</v>
      </c>
      <c r="Y41" s="1">
        <v>3</v>
      </c>
      <c r="Z41" s="1">
        <v>8</v>
      </c>
      <c r="AA41" s="1">
        <f t="shared" si="6"/>
        <v>5</v>
      </c>
      <c r="AB41" s="7">
        <f t="shared" si="7"/>
        <v>2.5</v>
      </c>
      <c r="AC41" s="13">
        <v>3</v>
      </c>
      <c r="AD41" s="1">
        <v>3</v>
      </c>
      <c r="AE41" s="1">
        <v>3</v>
      </c>
      <c r="AF41" s="1">
        <v>8</v>
      </c>
      <c r="AG41" s="1">
        <f t="shared" si="8"/>
        <v>6</v>
      </c>
      <c r="AH41" s="7">
        <f t="shared" si="9"/>
        <v>3</v>
      </c>
      <c r="AI41" s="1">
        <v>3</v>
      </c>
      <c r="AJ41" s="1">
        <v>3</v>
      </c>
      <c r="AK41" s="1">
        <v>8</v>
      </c>
      <c r="AL41" s="1">
        <f t="shared" si="10"/>
        <v>6</v>
      </c>
      <c r="AM41" s="7">
        <f t="shared" si="11"/>
        <v>3</v>
      </c>
      <c r="AN41" s="1">
        <v>2</v>
      </c>
      <c r="AO41" s="1">
        <v>2</v>
      </c>
      <c r="AP41" s="1">
        <v>8</v>
      </c>
      <c r="AQ41" s="1">
        <f t="shared" si="12"/>
        <v>4</v>
      </c>
      <c r="AR41" s="7">
        <f t="shared" si="13"/>
        <v>2</v>
      </c>
      <c r="AS41" s="1">
        <v>1</v>
      </c>
      <c r="AT41" s="1">
        <v>2</v>
      </c>
      <c r="AU41" s="1">
        <v>8</v>
      </c>
      <c r="AV41" s="1">
        <f t="shared" si="14"/>
        <v>3</v>
      </c>
      <c r="AW41" s="7">
        <f t="shared" si="15"/>
        <v>1.5</v>
      </c>
    </row>
    <row r="42" spans="1:49" x14ac:dyDescent="0.35">
      <c r="A42" s="1">
        <v>40</v>
      </c>
      <c r="B42" s="1" t="s">
        <v>63</v>
      </c>
      <c r="C42" s="1">
        <v>50</v>
      </c>
      <c r="D42" s="5" t="s">
        <v>83</v>
      </c>
      <c r="E42" s="1">
        <v>20</v>
      </c>
      <c r="F42" s="1">
        <v>4</v>
      </c>
      <c r="G42" s="1">
        <v>4</v>
      </c>
      <c r="H42" s="1">
        <v>8</v>
      </c>
      <c r="I42" s="1">
        <f t="shared" si="0"/>
        <v>8</v>
      </c>
      <c r="J42" s="7">
        <f t="shared" si="1"/>
        <v>4</v>
      </c>
      <c r="K42" s="13">
        <v>4</v>
      </c>
      <c r="L42" s="1">
        <v>3</v>
      </c>
      <c r="M42" s="1">
        <v>3</v>
      </c>
      <c r="N42" s="1">
        <v>8</v>
      </c>
      <c r="O42" s="1">
        <f t="shared" si="2"/>
        <v>6</v>
      </c>
      <c r="P42" s="7">
        <f t="shared" si="3"/>
        <v>3</v>
      </c>
      <c r="Q42" s="13">
        <v>3</v>
      </c>
      <c r="R42" s="1">
        <v>4</v>
      </c>
      <c r="S42" s="1">
        <v>4</v>
      </c>
      <c r="T42" s="1">
        <v>8</v>
      </c>
      <c r="U42" s="1">
        <f t="shared" si="4"/>
        <v>8</v>
      </c>
      <c r="V42" s="7">
        <f t="shared" si="5"/>
        <v>4</v>
      </c>
      <c r="W42" s="13">
        <v>4</v>
      </c>
      <c r="X42" s="1">
        <v>2</v>
      </c>
      <c r="Y42" s="1">
        <v>3</v>
      </c>
      <c r="Z42" s="1">
        <v>8</v>
      </c>
      <c r="AA42" s="1">
        <f t="shared" si="6"/>
        <v>5</v>
      </c>
      <c r="AB42" s="7">
        <f t="shared" si="7"/>
        <v>2.5</v>
      </c>
      <c r="AC42" s="13">
        <v>3</v>
      </c>
      <c r="AD42" s="1">
        <v>2</v>
      </c>
      <c r="AE42" s="1">
        <v>3</v>
      </c>
      <c r="AF42" s="1">
        <v>8</v>
      </c>
      <c r="AG42" s="1">
        <f t="shared" si="8"/>
        <v>5</v>
      </c>
      <c r="AH42" s="7">
        <f t="shared" si="9"/>
        <v>2.5</v>
      </c>
      <c r="AI42" s="1">
        <v>3</v>
      </c>
      <c r="AJ42" s="1">
        <v>4</v>
      </c>
      <c r="AK42" s="1">
        <v>8</v>
      </c>
      <c r="AL42" s="1">
        <f t="shared" si="10"/>
        <v>7</v>
      </c>
      <c r="AM42" s="7">
        <f t="shared" si="11"/>
        <v>3.5</v>
      </c>
      <c r="AN42" s="1">
        <v>2</v>
      </c>
      <c r="AO42" s="1">
        <v>2</v>
      </c>
      <c r="AP42" s="1">
        <v>8</v>
      </c>
      <c r="AQ42" s="1">
        <f t="shared" si="12"/>
        <v>4</v>
      </c>
      <c r="AR42" s="7">
        <f t="shared" si="13"/>
        <v>2</v>
      </c>
      <c r="AS42" s="1">
        <v>2</v>
      </c>
      <c r="AT42" s="1">
        <v>2</v>
      </c>
      <c r="AU42" s="1">
        <v>8</v>
      </c>
      <c r="AV42" s="1">
        <f t="shared" si="14"/>
        <v>4</v>
      </c>
      <c r="AW42" s="7">
        <f t="shared" si="15"/>
        <v>2</v>
      </c>
    </row>
    <row r="43" spans="1:49" x14ac:dyDescent="0.35">
      <c r="A43" s="1">
        <v>41</v>
      </c>
      <c r="B43" s="1" t="s">
        <v>65</v>
      </c>
      <c r="C43" s="1">
        <v>35</v>
      </c>
      <c r="D43" s="5" t="s">
        <v>83</v>
      </c>
      <c r="E43" s="1">
        <v>15</v>
      </c>
      <c r="F43" s="1">
        <v>3</v>
      </c>
      <c r="G43" s="1">
        <v>4</v>
      </c>
      <c r="H43" s="1">
        <v>8</v>
      </c>
      <c r="I43" s="1">
        <f t="shared" si="0"/>
        <v>7</v>
      </c>
      <c r="J43" s="7">
        <f t="shared" si="1"/>
        <v>3.5</v>
      </c>
      <c r="K43" s="13">
        <v>4</v>
      </c>
      <c r="L43" s="1">
        <v>3</v>
      </c>
      <c r="M43" s="1">
        <v>3</v>
      </c>
      <c r="N43" s="1">
        <v>8</v>
      </c>
      <c r="O43" s="1">
        <f t="shared" si="2"/>
        <v>6</v>
      </c>
      <c r="P43" s="7">
        <f t="shared" si="3"/>
        <v>3</v>
      </c>
      <c r="Q43" s="13">
        <v>3</v>
      </c>
      <c r="R43" s="1">
        <v>3</v>
      </c>
      <c r="S43" s="1">
        <v>4</v>
      </c>
      <c r="T43" s="1">
        <v>8</v>
      </c>
      <c r="U43" s="1">
        <f t="shared" si="4"/>
        <v>7</v>
      </c>
      <c r="V43" s="7">
        <f t="shared" si="5"/>
        <v>3.5</v>
      </c>
      <c r="W43" s="13">
        <v>4</v>
      </c>
      <c r="X43" s="1">
        <v>3</v>
      </c>
      <c r="Y43" s="1">
        <v>3</v>
      </c>
      <c r="Z43" s="1">
        <v>8</v>
      </c>
      <c r="AA43" s="1">
        <f t="shared" si="6"/>
        <v>6</v>
      </c>
      <c r="AB43" s="7">
        <f t="shared" si="7"/>
        <v>3</v>
      </c>
      <c r="AC43" s="13">
        <v>3</v>
      </c>
      <c r="AD43" s="1">
        <v>3</v>
      </c>
      <c r="AE43" s="1">
        <v>4</v>
      </c>
      <c r="AF43" s="1">
        <v>8</v>
      </c>
      <c r="AG43" s="1">
        <f t="shared" si="8"/>
        <v>7</v>
      </c>
      <c r="AH43" s="7">
        <f t="shared" si="9"/>
        <v>3.5</v>
      </c>
      <c r="AI43" s="1">
        <v>3</v>
      </c>
      <c r="AJ43" s="1">
        <v>3</v>
      </c>
      <c r="AK43" s="1">
        <v>8</v>
      </c>
      <c r="AL43" s="1">
        <f t="shared" si="10"/>
        <v>6</v>
      </c>
      <c r="AM43" s="7">
        <f t="shared" si="11"/>
        <v>3</v>
      </c>
      <c r="AN43" s="1">
        <v>3</v>
      </c>
      <c r="AO43" s="1">
        <v>3</v>
      </c>
      <c r="AP43" s="1">
        <v>8</v>
      </c>
      <c r="AQ43" s="1">
        <f t="shared" si="12"/>
        <v>6</v>
      </c>
      <c r="AR43" s="7">
        <f t="shared" si="13"/>
        <v>3</v>
      </c>
      <c r="AS43" s="1">
        <v>1</v>
      </c>
      <c r="AT43" s="1">
        <v>2</v>
      </c>
      <c r="AU43" s="1">
        <v>8</v>
      </c>
      <c r="AV43" s="1">
        <f t="shared" si="14"/>
        <v>3</v>
      </c>
      <c r="AW43" s="7">
        <f t="shared" si="15"/>
        <v>1.5</v>
      </c>
    </row>
    <row r="44" spans="1:49" x14ac:dyDescent="0.35">
      <c r="A44" s="1">
        <v>42</v>
      </c>
      <c r="B44" s="1" t="s">
        <v>66</v>
      </c>
      <c r="C44" s="1">
        <v>28</v>
      </c>
      <c r="D44" s="5" t="s">
        <v>83</v>
      </c>
      <c r="E44" s="1">
        <v>10</v>
      </c>
      <c r="F44" s="1">
        <v>3</v>
      </c>
      <c r="G44" s="1">
        <v>3</v>
      </c>
      <c r="H44" s="1">
        <v>8</v>
      </c>
      <c r="I44" s="1">
        <f t="shared" si="0"/>
        <v>6</v>
      </c>
      <c r="J44" s="7">
        <f t="shared" si="1"/>
        <v>3</v>
      </c>
      <c r="K44" s="13">
        <v>3</v>
      </c>
      <c r="L44" s="1">
        <v>4</v>
      </c>
      <c r="M44" s="1">
        <v>3</v>
      </c>
      <c r="N44" s="1">
        <v>8</v>
      </c>
      <c r="O44" s="1">
        <f t="shared" si="2"/>
        <v>7</v>
      </c>
      <c r="P44" s="7">
        <f t="shared" si="3"/>
        <v>3.5</v>
      </c>
      <c r="Q44" s="13">
        <v>4</v>
      </c>
      <c r="R44" s="1">
        <v>3</v>
      </c>
      <c r="S44" s="1">
        <v>3</v>
      </c>
      <c r="T44" s="1">
        <v>8</v>
      </c>
      <c r="U44" s="1">
        <f t="shared" si="4"/>
        <v>6</v>
      </c>
      <c r="V44" s="7">
        <f t="shared" si="5"/>
        <v>3</v>
      </c>
      <c r="W44" s="13">
        <v>3</v>
      </c>
      <c r="X44" s="1">
        <v>3</v>
      </c>
      <c r="Y44" s="1">
        <v>2</v>
      </c>
      <c r="Z44" s="1">
        <v>8</v>
      </c>
      <c r="AA44" s="1">
        <f t="shared" si="6"/>
        <v>5</v>
      </c>
      <c r="AB44" s="7">
        <f t="shared" si="7"/>
        <v>2.5</v>
      </c>
      <c r="AC44" s="13">
        <v>3</v>
      </c>
      <c r="AD44" s="1">
        <v>4</v>
      </c>
      <c r="AE44" s="1">
        <v>3</v>
      </c>
      <c r="AF44" s="1">
        <v>8</v>
      </c>
      <c r="AG44" s="1">
        <f t="shared" si="8"/>
        <v>7</v>
      </c>
      <c r="AH44" s="7">
        <f t="shared" si="9"/>
        <v>3.5</v>
      </c>
      <c r="AI44" s="1">
        <v>2</v>
      </c>
      <c r="AJ44" s="1">
        <v>3</v>
      </c>
      <c r="AK44" s="1">
        <v>8</v>
      </c>
      <c r="AL44" s="1">
        <f t="shared" si="10"/>
        <v>5</v>
      </c>
      <c r="AM44" s="7">
        <f t="shared" si="11"/>
        <v>2.5</v>
      </c>
      <c r="AN44" s="1">
        <v>3</v>
      </c>
      <c r="AO44" s="1">
        <v>3</v>
      </c>
      <c r="AP44" s="1">
        <v>8</v>
      </c>
      <c r="AQ44" s="1">
        <f t="shared" si="12"/>
        <v>6</v>
      </c>
      <c r="AR44" s="7">
        <f t="shared" si="13"/>
        <v>3</v>
      </c>
      <c r="AS44" s="1">
        <v>2</v>
      </c>
      <c r="AT44" s="1">
        <v>2</v>
      </c>
      <c r="AU44" s="1">
        <v>8</v>
      </c>
      <c r="AV44" s="1">
        <f t="shared" si="14"/>
        <v>4</v>
      </c>
      <c r="AW44" s="7">
        <f t="shared" si="15"/>
        <v>2</v>
      </c>
    </row>
    <row r="45" spans="1:49" x14ac:dyDescent="0.35">
      <c r="A45" s="1">
        <v>43</v>
      </c>
      <c r="B45" s="1" t="s">
        <v>67</v>
      </c>
      <c r="C45" s="1">
        <v>32</v>
      </c>
      <c r="D45" s="5" t="s">
        <v>83</v>
      </c>
      <c r="E45" s="1">
        <v>20</v>
      </c>
      <c r="F45" s="1">
        <v>4</v>
      </c>
      <c r="G45" s="1">
        <v>3</v>
      </c>
      <c r="H45" s="1">
        <v>8</v>
      </c>
      <c r="I45" s="1">
        <f t="shared" si="0"/>
        <v>7</v>
      </c>
      <c r="J45" s="7">
        <f t="shared" si="1"/>
        <v>3.5</v>
      </c>
      <c r="K45" s="13">
        <v>4</v>
      </c>
      <c r="L45" s="1">
        <v>4</v>
      </c>
      <c r="M45" s="1">
        <v>3</v>
      </c>
      <c r="N45" s="1">
        <v>8</v>
      </c>
      <c r="O45" s="1">
        <f t="shared" si="2"/>
        <v>7</v>
      </c>
      <c r="P45" s="7">
        <f t="shared" si="3"/>
        <v>3.5</v>
      </c>
      <c r="Q45" s="13">
        <v>4</v>
      </c>
      <c r="R45" s="1">
        <v>3</v>
      </c>
      <c r="S45" s="1">
        <v>3</v>
      </c>
      <c r="T45" s="1">
        <v>8</v>
      </c>
      <c r="U45" s="1">
        <f t="shared" si="4"/>
        <v>6</v>
      </c>
      <c r="V45" s="7">
        <f t="shared" si="5"/>
        <v>3</v>
      </c>
      <c r="W45" s="13">
        <v>3</v>
      </c>
      <c r="X45" s="1">
        <v>4</v>
      </c>
      <c r="Y45" s="1">
        <v>2</v>
      </c>
      <c r="Z45" s="1">
        <v>8</v>
      </c>
      <c r="AA45" s="1">
        <f t="shared" si="6"/>
        <v>6</v>
      </c>
      <c r="AB45" s="7">
        <f t="shared" si="7"/>
        <v>3</v>
      </c>
      <c r="AC45" s="13">
        <v>3</v>
      </c>
      <c r="AD45" s="1">
        <v>3</v>
      </c>
      <c r="AE45" s="1">
        <v>4</v>
      </c>
      <c r="AF45" s="1">
        <v>8</v>
      </c>
      <c r="AG45" s="1">
        <f t="shared" si="8"/>
        <v>7</v>
      </c>
      <c r="AH45" s="7">
        <f t="shared" si="9"/>
        <v>3.5</v>
      </c>
      <c r="AI45" s="1">
        <v>4</v>
      </c>
      <c r="AJ45" s="1">
        <v>3</v>
      </c>
      <c r="AK45" s="1">
        <v>8</v>
      </c>
      <c r="AL45" s="1">
        <f t="shared" si="10"/>
        <v>7</v>
      </c>
      <c r="AM45" s="7">
        <f t="shared" si="11"/>
        <v>3.5</v>
      </c>
      <c r="AN45" s="1">
        <v>4</v>
      </c>
      <c r="AO45" s="1">
        <v>4</v>
      </c>
      <c r="AP45" s="1">
        <v>8</v>
      </c>
      <c r="AQ45" s="1">
        <f t="shared" si="12"/>
        <v>8</v>
      </c>
      <c r="AR45" s="7">
        <f t="shared" si="13"/>
        <v>4</v>
      </c>
      <c r="AS45" s="1">
        <v>3</v>
      </c>
      <c r="AT45" s="1">
        <v>3</v>
      </c>
      <c r="AU45" s="1">
        <v>8</v>
      </c>
      <c r="AV45" s="1">
        <f t="shared" si="14"/>
        <v>6</v>
      </c>
      <c r="AW45" s="7">
        <f t="shared" si="15"/>
        <v>3</v>
      </c>
    </row>
    <row r="46" spans="1:49" x14ac:dyDescent="0.35">
      <c r="A46" s="1">
        <v>44</v>
      </c>
      <c r="B46" s="1" t="s">
        <v>68</v>
      </c>
      <c r="C46" s="1">
        <v>50</v>
      </c>
      <c r="D46" s="5" t="s">
        <v>83</v>
      </c>
      <c r="E46" s="1">
        <v>30</v>
      </c>
      <c r="F46" s="1">
        <v>4</v>
      </c>
      <c r="G46" s="1">
        <v>4</v>
      </c>
      <c r="H46" s="1">
        <v>8</v>
      </c>
      <c r="I46" s="1">
        <f t="shared" si="0"/>
        <v>8</v>
      </c>
      <c r="J46" s="7">
        <f t="shared" si="1"/>
        <v>4</v>
      </c>
      <c r="K46" s="13">
        <v>4</v>
      </c>
      <c r="L46" s="1">
        <v>4</v>
      </c>
      <c r="M46" s="1">
        <v>3</v>
      </c>
      <c r="N46" s="1">
        <v>8</v>
      </c>
      <c r="O46" s="1">
        <f t="shared" si="2"/>
        <v>7</v>
      </c>
      <c r="P46" s="7">
        <f t="shared" si="3"/>
        <v>3.5</v>
      </c>
      <c r="Q46" s="13">
        <v>4</v>
      </c>
      <c r="R46" s="1">
        <v>3</v>
      </c>
      <c r="S46" s="1">
        <v>4</v>
      </c>
      <c r="T46" s="1">
        <v>8</v>
      </c>
      <c r="U46" s="1">
        <f t="shared" si="4"/>
        <v>7</v>
      </c>
      <c r="V46" s="7">
        <f t="shared" si="5"/>
        <v>3.5</v>
      </c>
      <c r="W46" s="13">
        <v>4</v>
      </c>
      <c r="X46" s="1">
        <v>3</v>
      </c>
      <c r="Y46" s="1">
        <v>4</v>
      </c>
      <c r="Z46" s="1">
        <v>8</v>
      </c>
      <c r="AA46" s="1">
        <f t="shared" si="6"/>
        <v>7</v>
      </c>
      <c r="AB46" s="7">
        <f t="shared" si="7"/>
        <v>3.5</v>
      </c>
      <c r="AC46" s="13">
        <v>4</v>
      </c>
      <c r="AD46" s="1">
        <v>3</v>
      </c>
      <c r="AE46" s="1">
        <v>3</v>
      </c>
      <c r="AF46" s="1">
        <v>8</v>
      </c>
      <c r="AG46" s="1">
        <f t="shared" si="8"/>
        <v>6</v>
      </c>
      <c r="AH46" s="7">
        <f t="shared" si="9"/>
        <v>3</v>
      </c>
      <c r="AI46" s="1">
        <v>4</v>
      </c>
      <c r="AJ46" s="1">
        <v>3</v>
      </c>
      <c r="AK46" s="1">
        <v>8</v>
      </c>
      <c r="AL46" s="1">
        <f t="shared" si="10"/>
        <v>7</v>
      </c>
      <c r="AM46" s="7">
        <f t="shared" si="11"/>
        <v>3.5</v>
      </c>
      <c r="AN46" s="1">
        <v>3</v>
      </c>
      <c r="AO46" s="1">
        <v>4</v>
      </c>
      <c r="AP46" s="1">
        <v>8</v>
      </c>
      <c r="AQ46" s="1">
        <f t="shared" si="12"/>
        <v>7</v>
      </c>
      <c r="AR46" s="7">
        <f t="shared" si="13"/>
        <v>3.5</v>
      </c>
      <c r="AS46" s="1">
        <v>3</v>
      </c>
      <c r="AT46" s="1">
        <v>3</v>
      </c>
      <c r="AU46" s="1">
        <v>8</v>
      </c>
      <c r="AV46" s="1">
        <f t="shared" si="14"/>
        <v>6</v>
      </c>
      <c r="AW46" s="7">
        <f t="shared" si="15"/>
        <v>3</v>
      </c>
    </row>
    <row r="47" spans="1:49" x14ac:dyDescent="0.35">
      <c r="A47" s="1">
        <v>45</v>
      </c>
      <c r="B47" s="1" t="s">
        <v>69</v>
      </c>
      <c r="C47" s="1">
        <v>37</v>
      </c>
      <c r="D47" s="5" t="s">
        <v>83</v>
      </c>
      <c r="E47" s="1">
        <v>10</v>
      </c>
      <c r="F47" s="1">
        <v>4</v>
      </c>
      <c r="G47" s="1">
        <v>4</v>
      </c>
      <c r="H47" s="1">
        <v>8</v>
      </c>
      <c r="I47" s="1">
        <f t="shared" si="0"/>
        <v>8</v>
      </c>
      <c r="J47" s="7">
        <f t="shared" si="1"/>
        <v>4</v>
      </c>
      <c r="K47" s="13">
        <v>4</v>
      </c>
      <c r="L47" s="1">
        <v>3</v>
      </c>
      <c r="M47" s="1">
        <v>3</v>
      </c>
      <c r="N47" s="1">
        <v>8</v>
      </c>
      <c r="O47" s="1">
        <f t="shared" si="2"/>
        <v>6</v>
      </c>
      <c r="P47" s="7">
        <f t="shared" si="3"/>
        <v>3</v>
      </c>
      <c r="Q47" s="13">
        <v>3</v>
      </c>
      <c r="R47" s="1">
        <v>3</v>
      </c>
      <c r="S47" s="1">
        <v>2</v>
      </c>
      <c r="T47" s="1">
        <v>8</v>
      </c>
      <c r="U47" s="1">
        <f t="shared" si="4"/>
        <v>5</v>
      </c>
      <c r="V47" s="7">
        <f t="shared" si="5"/>
        <v>2.5</v>
      </c>
      <c r="W47" s="13">
        <v>3</v>
      </c>
      <c r="X47" s="1">
        <v>3</v>
      </c>
      <c r="Y47" s="1">
        <v>3</v>
      </c>
      <c r="Z47" s="1">
        <v>8</v>
      </c>
      <c r="AA47" s="1">
        <f t="shared" si="6"/>
        <v>6</v>
      </c>
      <c r="AB47" s="7">
        <f t="shared" si="7"/>
        <v>3</v>
      </c>
      <c r="AC47" s="13">
        <v>3</v>
      </c>
      <c r="AD47" s="1">
        <v>3</v>
      </c>
      <c r="AE47" s="1">
        <v>3</v>
      </c>
      <c r="AF47" s="1">
        <v>8</v>
      </c>
      <c r="AG47" s="1">
        <f t="shared" si="8"/>
        <v>6</v>
      </c>
      <c r="AH47" s="7">
        <f t="shared" si="9"/>
        <v>3</v>
      </c>
      <c r="AI47" s="1">
        <v>3</v>
      </c>
      <c r="AJ47" s="1">
        <v>2</v>
      </c>
      <c r="AK47" s="1">
        <v>8</v>
      </c>
      <c r="AL47" s="1">
        <f t="shared" si="10"/>
        <v>5</v>
      </c>
      <c r="AM47" s="7">
        <f t="shared" si="11"/>
        <v>2.5</v>
      </c>
      <c r="AN47" s="1">
        <v>3</v>
      </c>
      <c r="AO47" s="1">
        <v>2</v>
      </c>
      <c r="AP47" s="1">
        <v>8</v>
      </c>
      <c r="AQ47" s="1">
        <f t="shared" si="12"/>
        <v>5</v>
      </c>
      <c r="AR47" s="7">
        <f t="shared" si="13"/>
        <v>2.5</v>
      </c>
      <c r="AS47" s="1">
        <v>3</v>
      </c>
      <c r="AT47" s="1">
        <v>3</v>
      </c>
      <c r="AU47" s="1">
        <v>8</v>
      </c>
      <c r="AV47" s="1">
        <f t="shared" si="14"/>
        <v>6</v>
      </c>
      <c r="AW47" s="7">
        <f t="shared" si="15"/>
        <v>3</v>
      </c>
    </row>
    <row r="48" spans="1:49" x14ac:dyDescent="0.35">
      <c r="A48" s="1">
        <v>46</v>
      </c>
      <c r="B48" s="1" t="s">
        <v>70</v>
      </c>
      <c r="C48" s="1">
        <v>30</v>
      </c>
      <c r="D48" s="5" t="s">
        <v>83</v>
      </c>
      <c r="E48" s="1">
        <v>10</v>
      </c>
      <c r="F48" s="1">
        <v>4</v>
      </c>
      <c r="G48" s="1">
        <v>4</v>
      </c>
      <c r="H48" s="1">
        <v>8</v>
      </c>
      <c r="I48" s="1">
        <f t="shared" si="0"/>
        <v>8</v>
      </c>
      <c r="J48" s="7">
        <f t="shared" si="1"/>
        <v>4</v>
      </c>
      <c r="K48" s="13">
        <v>4</v>
      </c>
      <c r="L48" s="1">
        <v>3</v>
      </c>
      <c r="M48" s="1">
        <v>3</v>
      </c>
      <c r="N48" s="1">
        <v>8</v>
      </c>
      <c r="O48" s="1">
        <f t="shared" si="2"/>
        <v>6</v>
      </c>
      <c r="P48" s="7">
        <f t="shared" si="3"/>
        <v>3</v>
      </c>
      <c r="Q48" s="13">
        <v>3</v>
      </c>
      <c r="R48" s="1">
        <v>3</v>
      </c>
      <c r="S48" s="1">
        <v>4</v>
      </c>
      <c r="T48" s="1">
        <v>8</v>
      </c>
      <c r="U48" s="1">
        <f t="shared" si="4"/>
        <v>7</v>
      </c>
      <c r="V48" s="7">
        <f t="shared" si="5"/>
        <v>3.5</v>
      </c>
      <c r="W48" s="13">
        <v>4</v>
      </c>
      <c r="X48" s="1">
        <v>3</v>
      </c>
      <c r="Y48" s="1">
        <v>3</v>
      </c>
      <c r="Z48" s="1">
        <v>8</v>
      </c>
      <c r="AA48" s="1">
        <f t="shared" si="6"/>
        <v>6</v>
      </c>
      <c r="AB48" s="7">
        <f t="shared" si="7"/>
        <v>3</v>
      </c>
      <c r="AC48" s="13">
        <v>3</v>
      </c>
      <c r="AD48" s="1">
        <v>3</v>
      </c>
      <c r="AE48" s="1">
        <v>3</v>
      </c>
      <c r="AF48" s="1">
        <v>8</v>
      </c>
      <c r="AG48" s="1">
        <f t="shared" si="8"/>
        <v>6</v>
      </c>
      <c r="AH48" s="7">
        <f t="shared" si="9"/>
        <v>3</v>
      </c>
      <c r="AI48" s="1">
        <v>2</v>
      </c>
      <c r="AJ48" s="1">
        <v>3</v>
      </c>
      <c r="AK48" s="1">
        <v>8</v>
      </c>
      <c r="AL48" s="1">
        <f t="shared" si="10"/>
        <v>5</v>
      </c>
      <c r="AM48" s="7">
        <f t="shared" si="11"/>
        <v>2.5</v>
      </c>
      <c r="AN48" s="1">
        <v>3</v>
      </c>
      <c r="AO48" s="1">
        <v>3</v>
      </c>
      <c r="AP48" s="1">
        <v>8</v>
      </c>
      <c r="AQ48" s="1">
        <f t="shared" si="12"/>
        <v>6</v>
      </c>
      <c r="AR48" s="7">
        <f t="shared" si="13"/>
        <v>3</v>
      </c>
      <c r="AS48" s="1">
        <v>2</v>
      </c>
      <c r="AT48" s="1">
        <v>3</v>
      </c>
      <c r="AU48" s="1">
        <v>8</v>
      </c>
      <c r="AV48" s="1">
        <f t="shared" si="14"/>
        <v>5</v>
      </c>
      <c r="AW48" s="7">
        <f t="shared" si="15"/>
        <v>2.5</v>
      </c>
    </row>
    <row r="49" spans="1:49" x14ac:dyDescent="0.35">
      <c r="A49" s="1">
        <v>47</v>
      </c>
      <c r="B49" s="1" t="s">
        <v>71</v>
      </c>
      <c r="C49" s="1">
        <v>32</v>
      </c>
      <c r="D49" s="5" t="s">
        <v>83</v>
      </c>
      <c r="E49" s="1">
        <v>10</v>
      </c>
      <c r="F49" s="1">
        <v>4</v>
      </c>
      <c r="G49" s="1">
        <v>3</v>
      </c>
      <c r="H49" s="1">
        <v>8</v>
      </c>
      <c r="I49" s="1">
        <f t="shared" si="0"/>
        <v>7</v>
      </c>
      <c r="J49" s="7">
        <f t="shared" si="1"/>
        <v>3.5</v>
      </c>
      <c r="K49" s="13">
        <v>4</v>
      </c>
      <c r="L49" s="1">
        <v>3</v>
      </c>
      <c r="M49" s="1">
        <v>3</v>
      </c>
      <c r="N49" s="1">
        <v>8</v>
      </c>
      <c r="O49" s="1">
        <f t="shared" si="2"/>
        <v>6</v>
      </c>
      <c r="P49" s="7">
        <f t="shared" si="3"/>
        <v>3</v>
      </c>
      <c r="Q49" s="13">
        <v>3</v>
      </c>
      <c r="R49" s="1">
        <v>3</v>
      </c>
      <c r="S49" s="1">
        <v>2</v>
      </c>
      <c r="T49" s="1">
        <v>8</v>
      </c>
      <c r="U49" s="1">
        <f t="shared" si="4"/>
        <v>5</v>
      </c>
      <c r="V49" s="7">
        <f t="shared" si="5"/>
        <v>2.5</v>
      </c>
      <c r="W49" s="13">
        <v>3</v>
      </c>
      <c r="X49" s="1">
        <v>3</v>
      </c>
      <c r="Y49" s="1">
        <v>3</v>
      </c>
      <c r="Z49" s="1">
        <v>8</v>
      </c>
      <c r="AA49" s="1">
        <f t="shared" si="6"/>
        <v>6</v>
      </c>
      <c r="AB49" s="7">
        <f t="shared" si="7"/>
        <v>3</v>
      </c>
      <c r="AC49" s="13">
        <v>3</v>
      </c>
      <c r="AD49" s="1">
        <v>3</v>
      </c>
      <c r="AE49" s="1">
        <v>3</v>
      </c>
      <c r="AF49" s="1">
        <v>8</v>
      </c>
      <c r="AG49" s="1">
        <f t="shared" si="8"/>
        <v>6</v>
      </c>
      <c r="AH49" s="7">
        <f t="shared" si="9"/>
        <v>3</v>
      </c>
      <c r="AI49" s="1">
        <v>3</v>
      </c>
      <c r="AJ49" s="1">
        <v>3</v>
      </c>
      <c r="AK49" s="1">
        <v>8</v>
      </c>
      <c r="AL49" s="1">
        <f t="shared" si="10"/>
        <v>6</v>
      </c>
      <c r="AM49" s="7">
        <f t="shared" si="11"/>
        <v>3</v>
      </c>
      <c r="AN49" s="1">
        <v>4</v>
      </c>
      <c r="AO49" s="1">
        <v>3</v>
      </c>
      <c r="AP49" s="1">
        <v>8</v>
      </c>
      <c r="AQ49" s="1">
        <f t="shared" si="12"/>
        <v>7</v>
      </c>
      <c r="AR49" s="7">
        <f t="shared" si="13"/>
        <v>3.5</v>
      </c>
      <c r="AS49" s="1">
        <v>3</v>
      </c>
      <c r="AT49" s="1">
        <v>2</v>
      </c>
      <c r="AU49" s="1">
        <v>8</v>
      </c>
      <c r="AV49" s="1">
        <f t="shared" si="14"/>
        <v>5</v>
      </c>
      <c r="AW49" s="7">
        <f t="shared" si="15"/>
        <v>2.5</v>
      </c>
    </row>
    <row r="50" spans="1:49" x14ac:dyDescent="0.35">
      <c r="A50" s="1">
        <v>48</v>
      </c>
      <c r="B50" s="1" t="s">
        <v>59</v>
      </c>
      <c r="C50" s="1">
        <v>28</v>
      </c>
      <c r="D50" s="5" t="s">
        <v>83</v>
      </c>
      <c r="E50" s="1">
        <v>10</v>
      </c>
      <c r="F50" s="1">
        <v>4</v>
      </c>
      <c r="G50" s="1">
        <v>3</v>
      </c>
      <c r="H50" s="1">
        <v>8</v>
      </c>
      <c r="I50" s="1">
        <f t="shared" si="0"/>
        <v>7</v>
      </c>
      <c r="J50" s="7">
        <f t="shared" si="1"/>
        <v>3.5</v>
      </c>
      <c r="K50" s="13">
        <v>4</v>
      </c>
      <c r="L50" s="1">
        <v>3</v>
      </c>
      <c r="M50" s="1">
        <v>3</v>
      </c>
      <c r="N50" s="1">
        <v>8</v>
      </c>
      <c r="O50" s="1">
        <f t="shared" si="2"/>
        <v>6</v>
      </c>
      <c r="P50" s="7">
        <f t="shared" si="3"/>
        <v>3</v>
      </c>
      <c r="Q50" s="13">
        <v>3</v>
      </c>
      <c r="R50" s="1">
        <v>4</v>
      </c>
      <c r="S50" s="1">
        <v>3</v>
      </c>
      <c r="T50" s="1">
        <v>8</v>
      </c>
      <c r="U50" s="1">
        <f t="shared" si="4"/>
        <v>7</v>
      </c>
      <c r="V50" s="7">
        <f t="shared" si="5"/>
        <v>3.5</v>
      </c>
      <c r="W50" s="13">
        <v>4</v>
      </c>
      <c r="X50" s="1">
        <v>3</v>
      </c>
      <c r="Y50" s="1">
        <v>3</v>
      </c>
      <c r="Z50" s="1">
        <v>8</v>
      </c>
      <c r="AA50" s="1">
        <f t="shared" si="6"/>
        <v>6</v>
      </c>
      <c r="AB50" s="7">
        <f t="shared" si="7"/>
        <v>3</v>
      </c>
      <c r="AC50" s="13">
        <v>3</v>
      </c>
      <c r="AD50" s="1">
        <v>3</v>
      </c>
      <c r="AE50" s="1">
        <v>3</v>
      </c>
      <c r="AF50" s="1">
        <v>8</v>
      </c>
      <c r="AG50" s="1">
        <f t="shared" si="8"/>
        <v>6</v>
      </c>
      <c r="AH50" s="7">
        <f t="shared" si="9"/>
        <v>3</v>
      </c>
      <c r="AI50" s="1">
        <v>2</v>
      </c>
      <c r="AJ50" s="1">
        <v>3</v>
      </c>
      <c r="AK50" s="1">
        <v>8</v>
      </c>
      <c r="AL50" s="1">
        <f t="shared" si="10"/>
        <v>5</v>
      </c>
      <c r="AM50" s="7">
        <f t="shared" si="11"/>
        <v>2.5</v>
      </c>
      <c r="AN50" s="1">
        <v>3</v>
      </c>
      <c r="AO50" s="1">
        <v>2</v>
      </c>
      <c r="AP50" s="1">
        <v>8</v>
      </c>
      <c r="AQ50" s="1">
        <f t="shared" si="12"/>
        <v>5</v>
      </c>
      <c r="AR50" s="7">
        <f t="shared" si="13"/>
        <v>2.5</v>
      </c>
      <c r="AS50" s="1">
        <v>2</v>
      </c>
      <c r="AT50" s="1">
        <v>2</v>
      </c>
      <c r="AU50" s="1">
        <v>8</v>
      </c>
      <c r="AV50" s="1">
        <f t="shared" si="14"/>
        <v>4</v>
      </c>
      <c r="AW50" s="7">
        <f t="shared" si="15"/>
        <v>2</v>
      </c>
    </row>
    <row r="51" spans="1:49" x14ac:dyDescent="0.35">
      <c r="A51" s="1">
        <v>49</v>
      </c>
      <c r="B51" s="1" t="s">
        <v>72</v>
      </c>
      <c r="C51" s="1">
        <v>35</v>
      </c>
      <c r="D51" s="5" t="s">
        <v>83</v>
      </c>
      <c r="E51" s="1">
        <v>15</v>
      </c>
      <c r="F51" s="1">
        <v>4</v>
      </c>
      <c r="G51" s="1">
        <v>4</v>
      </c>
      <c r="H51" s="1">
        <v>8</v>
      </c>
      <c r="I51" s="1">
        <f t="shared" si="0"/>
        <v>8</v>
      </c>
      <c r="J51" s="7">
        <f t="shared" si="1"/>
        <v>4</v>
      </c>
      <c r="K51" s="13">
        <v>4</v>
      </c>
      <c r="L51" s="1">
        <v>3</v>
      </c>
      <c r="M51" s="1">
        <v>3</v>
      </c>
      <c r="N51" s="1">
        <v>8</v>
      </c>
      <c r="O51" s="1">
        <f t="shared" si="2"/>
        <v>6</v>
      </c>
      <c r="P51" s="7">
        <f t="shared" si="3"/>
        <v>3</v>
      </c>
      <c r="Q51" s="13">
        <v>3</v>
      </c>
      <c r="R51" s="1">
        <v>4</v>
      </c>
      <c r="S51" s="1">
        <v>3</v>
      </c>
      <c r="T51" s="1">
        <v>8</v>
      </c>
      <c r="U51" s="1">
        <f t="shared" si="4"/>
        <v>7</v>
      </c>
      <c r="V51" s="7">
        <f t="shared" si="5"/>
        <v>3.5</v>
      </c>
      <c r="W51" s="13">
        <v>4</v>
      </c>
      <c r="X51" s="1">
        <v>3</v>
      </c>
      <c r="Y51" s="1">
        <v>3</v>
      </c>
      <c r="Z51" s="1">
        <v>8</v>
      </c>
      <c r="AA51" s="1">
        <f t="shared" si="6"/>
        <v>6</v>
      </c>
      <c r="AB51" s="7">
        <f t="shared" si="7"/>
        <v>3</v>
      </c>
      <c r="AC51" s="13">
        <v>3</v>
      </c>
      <c r="AD51" s="1">
        <v>3</v>
      </c>
      <c r="AE51" s="1">
        <v>4</v>
      </c>
      <c r="AF51" s="1">
        <v>8</v>
      </c>
      <c r="AG51" s="1">
        <f t="shared" si="8"/>
        <v>7</v>
      </c>
      <c r="AH51" s="7">
        <f t="shared" si="9"/>
        <v>3.5</v>
      </c>
      <c r="AI51" s="1">
        <v>3</v>
      </c>
      <c r="AJ51" s="1">
        <v>3</v>
      </c>
      <c r="AK51" s="1">
        <v>8</v>
      </c>
      <c r="AL51" s="1">
        <f t="shared" si="10"/>
        <v>6</v>
      </c>
      <c r="AM51" s="7">
        <f t="shared" si="11"/>
        <v>3</v>
      </c>
      <c r="AN51" s="1">
        <v>3</v>
      </c>
      <c r="AO51" s="1">
        <v>2</v>
      </c>
      <c r="AP51" s="1">
        <v>8</v>
      </c>
      <c r="AQ51" s="1">
        <f t="shared" si="12"/>
        <v>5</v>
      </c>
      <c r="AR51" s="7">
        <f t="shared" si="13"/>
        <v>2.5</v>
      </c>
      <c r="AS51" s="1">
        <v>2</v>
      </c>
      <c r="AT51" s="1">
        <v>2</v>
      </c>
      <c r="AU51" s="1">
        <v>8</v>
      </c>
      <c r="AV51" s="1">
        <f t="shared" si="14"/>
        <v>4</v>
      </c>
      <c r="AW51" s="7">
        <f t="shared" si="15"/>
        <v>2</v>
      </c>
    </row>
    <row r="52" spans="1:49" x14ac:dyDescent="0.35">
      <c r="A52" s="1">
        <v>50</v>
      </c>
      <c r="B52" s="1" t="s">
        <v>73</v>
      </c>
      <c r="C52" s="1">
        <v>24</v>
      </c>
      <c r="D52" s="5" t="s">
        <v>84</v>
      </c>
      <c r="E52" s="1">
        <v>6</v>
      </c>
      <c r="F52" s="1">
        <v>4</v>
      </c>
      <c r="G52" s="1">
        <v>4</v>
      </c>
      <c r="H52" s="1">
        <v>8</v>
      </c>
      <c r="I52" s="1">
        <f t="shared" si="0"/>
        <v>8</v>
      </c>
      <c r="J52" s="7">
        <f t="shared" si="1"/>
        <v>4</v>
      </c>
      <c r="K52" s="13">
        <v>4</v>
      </c>
      <c r="L52" s="1">
        <v>4</v>
      </c>
      <c r="M52" s="1">
        <v>3</v>
      </c>
      <c r="N52" s="1">
        <v>8</v>
      </c>
      <c r="O52" s="1">
        <f t="shared" si="2"/>
        <v>7</v>
      </c>
      <c r="P52" s="7">
        <f t="shared" si="3"/>
        <v>3.5</v>
      </c>
      <c r="Q52" s="13">
        <v>4</v>
      </c>
      <c r="R52" s="1">
        <v>4</v>
      </c>
      <c r="S52" s="1">
        <v>3</v>
      </c>
      <c r="T52" s="1">
        <v>8</v>
      </c>
      <c r="U52" s="1">
        <f t="shared" si="4"/>
        <v>7</v>
      </c>
      <c r="V52" s="7">
        <f t="shared" si="5"/>
        <v>3.5</v>
      </c>
      <c r="W52" s="13">
        <v>4</v>
      </c>
      <c r="X52" s="1">
        <v>4</v>
      </c>
      <c r="Y52" s="1">
        <v>4</v>
      </c>
      <c r="Z52" s="1">
        <v>8</v>
      </c>
      <c r="AA52" s="1">
        <f t="shared" si="6"/>
        <v>8</v>
      </c>
      <c r="AB52" s="7">
        <f t="shared" si="7"/>
        <v>4</v>
      </c>
      <c r="AC52" s="13">
        <v>4</v>
      </c>
      <c r="AD52" s="1">
        <v>4</v>
      </c>
      <c r="AE52" s="1">
        <v>4</v>
      </c>
      <c r="AF52" s="1">
        <v>8</v>
      </c>
      <c r="AG52" s="1">
        <f t="shared" si="8"/>
        <v>8</v>
      </c>
      <c r="AH52" s="7">
        <f t="shared" si="9"/>
        <v>4</v>
      </c>
      <c r="AI52" s="1">
        <v>4</v>
      </c>
      <c r="AJ52" s="1">
        <v>3</v>
      </c>
      <c r="AK52" s="1">
        <v>8</v>
      </c>
      <c r="AL52" s="1">
        <f t="shared" si="10"/>
        <v>7</v>
      </c>
      <c r="AM52" s="7">
        <f t="shared" si="11"/>
        <v>3.5</v>
      </c>
      <c r="AN52" s="1">
        <v>4</v>
      </c>
      <c r="AO52" s="1">
        <v>3</v>
      </c>
      <c r="AP52" s="1">
        <v>8</v>
      </c>
      <c r="AQ52" s="1">
        <f t="shared" si="12"/>
        <v>7</v>
      </c>
      <c r="AR52" s="7">
        <f t="shared" si="13"/>
        <v>3.5</v>
      </c>
      <c r="AS52" s="1">
        <v>3</v>
      </c>
      <c r="AT52" s="1">
        <v>3</v>
      </c>
      <c r="AU52" s="1">
        <v>8</v>
      </c>
      <c r="AV52" s="1">
        <f t="shared" si="14"/>
        <v>6</v>
      </c>
      <c r="AW52" s="7">
        <f t="shared" si="15"/>
        <v>3</v>
      </c>
    </row>
    <row r="53" spans="1:49" x14ac:dyDescent="0.35">
      <c r="H53" s="1">
        <f>SUM(H3:H52)</f>
        <v>400</v>
      </c>
      <c r="J53" s="1">
        <f>SUM(J3:J52)</f>
        <v>178.5</v>
      </c>
      <c r="P53" s="1">
        <f>SUM(P3:P52)</f>
        <v>150</v>
      </c>
      <c r="V53" s="1">
        <f>SUM(V3:V52)</f>
        <v>159</v>
      </c>
      <c r="AB53" s="1">
        <f>SUM(AB3:AB52)</f>
        <v>139.5</v>
      </c>
      <c r="AH53" s="1">
        <f>SUM(AH3:AH52)</f>
        <v>162.5</v>
      </c>
      <c r="AM53" s="1">
        <f>SUM(AM3:AM52)</f>
        <v>141</v>
      </c>
      <c r="AR53" s="1">
        <f>SUM(AR3:AR52)</f>
        <v>123.5</v>
      </c>
      <c r="AW53" s="1">
        <f>SUM(AW3:AW52)</f>
        <v>113</v>
      </c>
    </row>
    <row r="54" spans="1:49" ht="14.5" customHeight="1" x14ac:dyDescent="0.35">
      <c r="I54" s="10" t="s">
        <v>75</v>
      </c>
      <c r="J54" s="1">
        <f>SUM(J53/50)</f>
        <v>3.57</v>
      </c>
      <c r="O54" s="11" t="s">
        <v>5</v>
      </c>
      <c r="P54" s="1">
        <f>SUM(P53/50)</f>
        <v>3</v>
      </c>
      <c r="T54" s="10" t="s">
        <v>76</v>
      </c>
      <c r="V54" s="1">
        <f>SUM(V53/50)</f>
        <v>3.18</v>
      </c>
      <c r="AA54" s="10" t="s">
        <v>7</v>
      </c>
      <c r="AB54" s="1">
        <f>SUM(AB53/50)</f>
        <v>2.79</v>
      </c>
      <c r="AF54" s="10" t="s">
        <v>8</v>
      </c>
      <c r="AH54" s="1">
        <f>SUM(AH53/50)</f>
        <v>3.25</v>
      </c>
      <c r="AK54" s="11" t="s">
        <v>9</v>
      </c>
      <c r="AL54" s="2"/>
      <c r="AM54" s="1">
        <f>SUM(AM53/50)</f>
        <v>2.82</v>
      </c>
      <c r="AQ54" s="10" t="s">
        <v>10</v>
      </c>
      <c r="AR54" s="1">
        <f>SUM(AR53/50)</f>
        <v>2.4700000000000002</v>
      </c>
      <c r="AU54" s="10" t="s">
        <v>77</v>
      </c>
      <c r="AW54" s="1">
        <f>SUM(AW53/50)</f>
        <v>2.2599999999999998</v>
      </c>
    </row>
    <row r="57" spans="1:49" x14ac:dyDescent="0.35">
      <c r="I57" s="1">
        <v>1740005663422</v>
      </c>
    </row>
  </sheetData>
  <mergeCells count="37">
    <mergeCell ref="AR1:AR2"/>
    <mergeCell ref="AU1:AU2"/>
    <mergeCell ref="AV1:AV2"/>
    <mergeCell ref="AW1:AW2"/>
    <mergeCell ref="AH1:AH2"/>
    <mergeCell ref="AK1:AK2"/>
    <mergeCell ref="AL1:AL2"/>
    <mergeCell ref="AM1:AM2"/>
    <mergeCell ref="AP1:AP2"/>
    <mergeCell ref="AQ1:AQ2"/>
    <mergeCell ref="AI1:AJ1"/>
    <mergeCell ref="AN1:AO1"/>
    <mergeCell ref="AS1:AT1"/>
    <mergeCell ref="A1:A2"/>
    <mergeCell ref="B1:B2"/>
    <mergeCell ref="C1:C2"/>
    <mergeCell ref="E1:E2"/>
    <mergeCell ref="H1:H2"/>
    <mergeCell ref="D1:D2"/>
    <mergeCell ref="I1:I2"/>
    <mergeCell ref="J1:J2"/>
    <mergeCell ref="N1:N2"/>
    <mergeCell ref="F1:G1"/>
    <mergeCell ref="L1:M1"/>
    <mergeCell ref="R1:S1"/>
    <mergeCell ref="X1:Y1"/>
    <mergeCell ref="AD1:AE1"/>
    <mergeCell ref="V1:V2"/>
    <mergeCell ref="O1:O2"/>
    <mergeCell ref="P1:P2"/>
    <mergeCell ref="T1:T2"/>
    <mergeCell ref="U1:U2"/>
    <mergeCell ref="AG1:AG2"/>
    <mergeCell ref="Z1:Z2"/>
    <mergeCell ref="AA1:AA2"/>
    <mergeCell ref="AB1:AB2"/>
    <mergeCell ref="AF1:AF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625B-EFE5-4034-B6E5-C884BAC75EBD}">
  <dimension ref="A1:AG54"/>
  <sheetViews>
    <sheetView zoomScale="70" zoomScaleNormal="70" workbookViewId="0">
      <selection activeCell="L7" sqref="L7"/>
    </sheetView>
  </sheetViews>
  <sheetFormatPr defaultRowHeight="14.5" x14ac:dyDescent="0.35"/>
  <cols>
    <col min="1" max="1" width="3.7265625" bestFit="1" customWidth="1"/>
    <col min="2" max="2" width="17.7265625" bestFit="1" customWidth="1"/>
    <col min="6" max="6" width="15.453125" bestFit="1" customWidth="1"/>
    <col min="7" max="7" width="5.81640625" bestFit="1" customWidth="1"/>
    <col min="8" max="8" width="10.453125" bestFit="1" customWidth="1"/>
    <col min="12" max="12" width="15.453125" bestFit="1" customWidth="1"/>
    <col min="14" max="14" width="10.54296875" customWidth="1"/>
    <col min="18" max="18" width="15.453125" bestFit="1" customWidth="1"/>
    <col min="19" max="19" width="7.453125" customWidth="1"/>
    <col min="20" max="20" width="11.453125" bestFit="1" customWidth="1"/>
    <col min="24" max="24" width="15.453125" bestFit="1" customWidth="1"/>
    <col min="25" max="25" width="5.81640625" bestFit="1" customWidth="1"/>
    <col min="26" max="26" width="10.453125" bestFit="1" customWidth="1"/>
    <col min="30" max="30" width="15.453125" bestFit="1" customWidth="1"/>
    <col min="31" max="31" width="8.1796875" customWidth="1"/>
    <col min="32" max="32" width="10.453125" style="1" bestFit="1" customWidth="1"/>
  </cols>
  <sheetData>
    <row r="1" spans="1:32" x14ac:dyDescent="0.35">
      <c r="A1" s="1" t="s">
        <v>0</v>
      </c>
      <c r="B1" s="1" t="s">
        <v>18</v>
      </c>
      <c r="C1" s="23" t="s">
        <v>15</v>
      </c>
      <c r="D1" s="24"/>
      <c r="E1" s="24"/>
      <c r="F1" s="24"/>
      <c r="G1" s="24"/>
      <c r="H1" s="25"/>
      <c r="I1" s="22" t="s">
        <v>19</v>
      </c>
      <c r="J1" s="22"/>
      <c r="K1" s="22"/>
      <c r="L1" s="22"/>
      <c r="M1" s="22"/>
      <c r="N1" s="22"/>
      <c r="O1" s="22" t="s">
        <v>20</v>
      </c>
      <c r="P1" s="22"/>
      <c r="Q1" s="22"/>
      <c r="R1" s="22"/>
      <c r="S1" s="22"/>
      <c r="T1" s="22"/>
      <c r="U1" s="22" t="s">
        <v>21</v>
      </c>
      <c r="V1" s="22"/>
      <c r="W1" s="22"/>
      <c r="X1" s="22"/>
      <c r="Y1" s="22"/>
      <c r="Z1" s="22"/>
      <c r="AA1" s="22" t="s">
        <v>22</v>
      </c>
      <c r="AB1" s="22"/>
      <c r="AC1" s="22"/>
      <c r="AD1" s="22"/>
      <c r="AE1" s="22"/>
      <c r="AF1" s="22"/>
    </row>
    <row r="2" spans="1:32" x14ac:dyDescent="0.35">
      <c r="A2" s="1"/>
      <c r="B2" s="1"/>
      <c r="C2" s="2" t="s">
        <v>16</v>
      </c>
      <c r="D2" s="2" t="s">
        <v>17</v>
      </c>
      <c r="E2" s="2" t="s">
        <v>23</v>
      </c>
      <c r="F2" s="2" t="s">
        <v>12</v>
      </c>
      <c r="G2" s="2" t="s">
        <v>13</v>
      </c>
      <c r="H2" s="2" t="s">
        <v>14</v>
      </c>
      <c r="I2" s="2" t="s">
        <v>16</v>
      </c>
      <c r="J2" s="2" t="s">
        <v>17</v>
      </c>
      <c r="K2" s="2" t="s">
        <v>23</v>
      </c>
      <c r="L2" s="2" t="s">
        <v>12</v>
      </c>
      <c r="M2" s="2" t="s">
        <v>13</v>
      </c>
      <c r="N2" s="2" t="s">
        <v>14</v>
      </c>
      <c r="O2" s="5" t="s">
        <v>16</v>
      </c>
      <c r="P2" s="5" t="s">
        <v>17</v>
      </c>
      <c r="Q2" s="5" t="s">
        <v>23</v>
      </c>
      <c r="R2" s="2" t="s">
        <v>12</v>
      </c>
      <c r="S2" s="2" t="s">
        <v>13</v>
      </c>
      <c r="T2" s="2" t="s">
        <v>14</v>
      </c>
      <c r="U2" s="2" t="s">
        <v>16</v>
      </c>
      <c r="V2" s="2" t="s">
        <v>17</v>
      </c>
      <c r="W2" s="2" t="s">
        <v>23</v>
      </c>
      <c r="X2" s="2" t="s">
        <v>12</v>
      </c>
      <c r="Y2" s="2" t="s">
        <v>13</v>
      </c>
      <c r="Z2" s="2" t="s">
        <v>14</v>
      </c>
      <c r="AA2" s="2" t="s">
        <v>16</v>
      </c>
      <c r="AB2" s="2" t="s">
        <v>17</v>
      </c>
      <c r="AC2" s="2" t="s">
        <v>23</v>
      </c>
      <c r="AD2" s="2" t="s">
        <v>12</v>
      </c>
      <c r="AE2" s="3" t="s">
        <v>13</v>
      </c>
      <c r="AF2" s="2" t="s">
        <v>14</v>
      </c>
    </row>
    <row r="3" spans="1:32" x14ac:dyDescent="0.35">
      <c r="A3" s="1">
        <v>1</v>
      </c>
      <c r="B3" s="1" t="s">
        <v>24</v>
      </c>
      <c r="C3" s="1">
        <v>2</v>
      </c>
      <c r="D3" s="1">
        <v>3</v>
      </c>
      <c r="E3" s="1">
        <v>3</v>
      </c>
      <c r="F3" s="1">
        <v>12</v>
      </c>
      <c r="G3" s="1">
        <f>SUM(C3+D3+E3)</f>
        <v>8</v>
      </c>
      <c r="H3" s="7">
        <f>SUM(G3/3)</f>
        <v>2.6666666666666665</v>
      </c>
      <c r="I3" s="1">
        <v>2</v>
      </c>
      <c r="J3" s="1">
        <v>2</v>
      </c>
      <c r="K3" s="1">
        <v>2</v>
      </c>
      <c r="L3" s="1">
        <v>12</v>
      </c>
      <c r="M3" s="1">
        <f>SUM(I3+J3+K3)</f>
        <v>6</v>
      </c>
      <c r="N3" s="7">
        <f>SUM(M3/3)</f>
        <v>2</v>
      </c>
      <c r="O3" s="1">
        <v>3</v>
      </c>
      <c r="P3" s="1">
        <v>3</v>
      </c>
      <c r="Q3" s="1">
        <v>3</v>
      </c>
      <c r="R3" s="1">
        <v>12</v>
      </c>
      <c r="S3" s="1">
        <f>SUM(O3+P3+Q3)</f>
        <v>9</v>
      </c>
      <c r="T3" s="7">
        <f>SUM(S3/3)</f>
        <v>3</v>
      </c>
      <c r="U3" s="1">
        <v>2</v>
      </c>
      <c r="V3" s="1">
        <v>2</v>
      </c>
      <c r="W3" s="1">
        <v>2</v>
      </c>
      <c r="X3" s="1">
        <v>12</v>
      </c>
      <c r="Y3" s="1">
        <f>SUM(U3+V3+W3)</f>
        <v>6</v>
      </c>
      <c r="Z3" s="7">
        <f>SUM(Y3/3)</f>
        <v>2</v>
      </c>
      <c r="AA3" s="1">
        <v>2</v>
      </c>
      <c r="AB3" s="1">
        <v>2</v>
      </c>
      <c r="AC3" s="1">
        <v>1</v>
      </c>
      <c r="AD3" s="1">
        <v>12</v>
      </c>
      <c r="AE3" s="4">
        <f>SUM(AA3+AB3+AC3)</f>
        <v>5</v>
      </c>
      <c r="AF3" s="7">
        <f>SUM(AE3/3)</f>
        <v>1.6666666666666667</v>
      </c>
    </row>
    <row r="4" spans="1:32" x14ac:dyDescent="0.35">
      <c r="A4" s="1">
        <v>2</v>
      </c>
      <c r="B4" s="1" t="s">
        <v>26</v>
      </c>
      <c r="C4" s="1">
        <v>3</v>
      </c>
      <c r="D4" s="1">
        <v>3</v>
      </c>
      <c r="E4" s="1">
        <v>2</v>
      </c>
      <c r="F4" s="1">
        <v>12</v>
      </c>
      <c r="G4" s="1">
        <f t="shared" ref="G4:G52" si="0">SUM(C4+D4+E4)</f>
        <v>8</v>
      </c>
      <c r="H4" s="7">
        <f t="shared" ref="H4:H52" si="1">SUM(G4/3)</f>
        <v>2.6666666666666665</v>
      </c>
      <c r="I4" s="1">
        <v>3</v>
      </c>
      <c r="J4" s="1">
        <v>3</v>
      </c>
      <c r="K4" s="1">
        <v>3</v>
      </c>
      <c r="L4" s="1">
        <v>12</v>
      </c>
      <c r="M4" s="1">
        <f t="shared" ref="M4:M52" si="2">SUM(I4+J4+K4)</f>
        <v>9</v>
      </c>
      <c r="N4" s="7">
        <f t="shared" ref="N4:N52" si="3">SUM(M4/3)</f>
        <v>3</v>
      </c>
      <c r="O4" s="1">
        <v>4</v>
      </c>
      <c r="P4" s="1">
        <v>3</v>
      </c>
      <c r="Q4" s="1">
        <v>2</v>
      </c>
      <c r="R4" s="1">
        <v>12</v>
      </c>
      <c r="S4" s="1">
        <f t="shared" ref="S4:S52" si="4">SUM(O4+P4+Q4)</f>
        <v>9</v>
      </c>
      <c r="T4" s="7">
        <f t="shared" ref="T4:T52" si="5">SUM(S4/3)</f>
        <v>3</v>
      </c>
      <c r="U4" s="1">
        <v>3</v>
      </c>
      <c r="V4" s="1">
        <v>3</v>
      </c>
      <c r="W4" s="1">
        <v>3</v>
      </c>
      <c r="X4" s="1">
        <v>12</v>
      </c>
      <c r="Y4" s="1">
        <f t="shared" ref="Y4:Y52" si="6">SUM(U4+V4+W4)</f>
        <v>9</v>
      </c>
      <c r="Z4" s="7">
        <f t="shared" ref="Z4:Z52" si="7">SUM(Y4/3)</f>
        <v>3</v>
      </c>
      <c r="AA4" s="1">
        <v>2</v>
      </c>
      <c r="AB4" s="1">
        <v>2</v>
      </c>
      <c r="AC4" s="1">
        <v>2</v>
      </c>
      <c r="AD4" s="1">
        <v>12</v>
      </c>
      <c r="AE4" s="4">
        <f t="shared" ref="AE4:AE52" si="8">SUM(AA4+AB4+AC4)</f>
        <v>6</v>
      </c>
      <c r="AF4" s="7">
        <f t="shared" ref="AF4:AF52" si="9">SUM(AE4/3)</f>
        <v>2</v>
      </c>
    </row>
    <row r="5" spans="1:32" x14ac:dyDescent="0.35">
      <c r="A5" s="1">
        <v>3</v>
      </c>
      <c r="B5" s="1" t="s">
        <v>25</v>
      </c>
      <c r="C5" s="1">
        <v>3</v>
      </c>
      <c r="D5" s="1">
        <v>3</v>
      </c>
      <c r="E5" s="1">
        <v>4</v>
      </c>
      <c r="F5" s="1">
        <v>12</v>
      </c>
      <c r="G5" s="1">
        <f t="shared" si="0"/>
        <v>10</v>
      </c>
      <c r="H5" s="7">
        <f t="shared" si="1"/>
        <v>3.3333333333333335</v>
      </c>
      <c r="I5" s="1">
        <v>4</v>
      </c>
      <c r="J5" s="1">
        <v>4</v>
      </c>
      <c r="K5" s="1">
        <v>3</v>
      </c>
      <c r="L5" s="1">
        <v>12</v>
      </c>
      <c r="M5" s="1">
        <f t="shared" si="2"/>
        <v>11</v>
      </c>
      <c r="N5" s="7">
        <f t="shared" si="3"/>
        <v>3.6666666666666665</v>
      </c>
      <c r="O5" s="1">
        <v>2</v>
      </c>
      <c r="P5" s="1">
        <v>3</v>
      </c>
      <c r="Q5" s="1">
        <v>3</v>
      </c>
      <c r="R5" s="1">
        <v>12</v>
      </c>
      <c r="S5" s="1">
        <f t="shared" si="4"/>
        <v>8</v>
      </c>
      <c r="T5" s="7">
        <f t="shared" si="5"/>
        <v>2.6666666666666665</v>
      </c>
      <c r="U5" s="1">
        <v>4</v>
      </c>
      <c r="V5" s="1">
        <v>2</v>
      </c>
      <c r="W5" s="1">
        <v>4</v>
      </c>
      <c r="X5" s="1">
        <v>12</v>
      </c>
      <c r="Y5" s="1">
        <f t="shared" si="6"/>
        <v>10</v>
      </c>
      <c r="Z5" s="7">
        <f t="shared" si="7"/>
        <v>3.3333333333333335</v>
      </c>
      <c r="AA5" s="1">
        <v>2</v>
      </c>
      <c r="AB5" s="1">
        <v>2</v>
      </c>
      <c r="AC5" s="1">
        <v>1</v>
      </c>
      <c r="AD5" s="1">
        <v>12</v>
      </c>
      <c r="AE5" s="4">
        <f t="shared" si="8"/>
        <v>5</v>
      </c>
      <c r="AF5" s="7">
        <f t="shared" si="9"/>
        <v>1.6666666666666667</v>
      </c>
    </row>
    <row r="6" spans="1:32" x14ac:dyDescent="0.35">
      <c r="A6" s="1">
        <v>4</v>
      </c>
      <c r="B6" s="1" t="s">
        <v>27</v>
      </c>
      <c r="C6" s="1">
        <v>2</v>
      </c>
      <c r="D6" s="1">
        <v>4</v>
      </c>
      <c r="E6" s="1">
        <v>3</v>
      </c>
      <c r="F6" s="1">
        <v>12</v>
      </c>
      <c r="G6" s="1">
        <f t="shared" si="0"/>
        <v>9</v>
      </c>
      <c r="H6" s="7">
        <f t="shared" si="1"/>
        <v>3</v>
      </c>
      <c r="I6" s="1">
        <v>3</v>
      </c>
      <c r="J6" s="1">
        <v>2</v>
      </c>
      <c r="K6" s="1">
        <v>3</v>
      </c>
      <c r="L6" s="1">
        <v>12</v>
      </c>
      <c r="M6" s="1">
        <f t="shared" si="2"/>
        <v>8</v>
      </c>
      <c r="N6" s="7">
        <f t="shared" si="3"/>
        <v>2.6666666666666665</v>
      </c>
      <c r="O6" s="1">
        <v>4</v>
      </c>
      <c r="P6" s="1">
        <v>4</v>
      </c>
      <c r="Q6" s="1">
        <v>4</v>
      </c>
      <c r="R6" s="1">
        <v>12</v>
      </c>
      <c r="S6" s="1">
        <f t="shared" si="4"/>
        <v>12</v>
      </c>
      <c r="T6" s="7">
        <f t="shared" si="5"/>
        <v>4</v>
      </c>
      <c r="U6" s="1">
        <v>2</v>
      </c>
      <c r="V6" s="1">
        <v>2</v>
      </c>
      <c r="W6" s="1">
        <v>2</v>
      </c>
      <c r="X6" s="1">
        <v>12</v>
      </c>
      <c r="Y6" s="1">
        <f t="shared" si="6"/>
        <v>6</v>
      </c>
      <c r="Z6" s="7">
        <f t="shared" si="7"/>
        <v>2</v>
      </c>
      <c r="AA6" s="1">
        <v>3</v>
      </c>
      <c r="AB6" s="1">
        <v>3</v>
      </c>
      <c r="AC6" s="1">
        <v>3</v>
      </c>
      <c r="AD6" s="1">
        <v>12</v>
      </c>
      <c r="AE6" s="4">
        <f t="shared" si="8"/>
        <v>9</v>
      </c>
      <c r="AF6" s="7">
        <f t="shared" si="9"/>
        <v>3</v>
      </c>
    </row>
    <row r="7" spans="1:32" x14ac:dyDescent="0.35">
      <c r="A7" s="1">
        <v>5</v>
      </c>
      <c r="B7" s="1" t="s">
        <v>28</v>
      </c>
      <c r="C7" s="1">
        <v>3</v>
      </c>
      <c r="D7" s="1">
        <v>3</v>
      </c>
      <c r="E7" s="1">
        <v>3</v>
      </c>
      <c r="F7" s="1">
        <v>12</v>
      </c>
      <c r="G7" s="1">
        <f t="shared" si="0"/>
        <v>9</v>
      </c>
      <c r="H7" s="7">
        <f t="shared" si="1"/>
        <v>3</v>
      </c>
      <c r="I7" s="1">
        <v>2</v>
      </c>
      <c r="J7" s="1">
        <v>2</v>
      </c>
      <c r="K7" s="1">
        <v>2</v>
      </c>
      <c r="L7" s="1">
        <v>12</v>
      </c>
      <c r="M7" s="1">
        <f t="shared" si="2"/>
        <v>6</v>
      </c>
      <c r="N7" s="7">
        <f t="shared" si="3"/>
        <v>2</v>
      </c>
      <c r="O7" s="1">
        <v>2</v>
      </c>
      <c r="P7" s="1">
        <v>2</v>
      </c>
      <c r="Q7" s="1">
        <v>2</v>
      </c>
      <c r="R7" s="1">
        <v>12</v>
      </c>
      <c r="S7" s="1">
        <f t="shared" si="4"/>
        <v>6</v>
      </c>
      <c r="T7" s="7">
        <f t="shared" si="5"/>
        <v>2</v>
      </c>
      <c r="U7" s="1">
        <v>2</v>
      </c>
      <c r="V7" s="1">
        <v>1</v>
      </c>
      <c r="W7" s="1">
        <v>2</v>
      </c>
      <c r="X7" s="1">
        <v>12</v>
      </c>
      <c r="Y7" s="1">
        <f t="shared" si="6"/>
        <v>5</v>
      </c>
      <c r="Z7" s="7">
        <f t="shared" si="7"/>
        <v>1.6666666666666667</v>
      </c>
      <c r="AA7" s="1">
        <v>1</v>
      </c>
      <c r="AB7" s="1">
        <v>1</v>
      </c>
      <c r="AC7" s="1">
        <v>1</v>
      </c>
      <c r="AD7" s="1">
        <v>12</v>
      </c>
      <c r="AE7" s="4">
        <f t="shared" si="8"/>
        <v>3</v>
      </c>
      <c r="AF7" s="7">
        <f t="shared" si="9"/>
        <v>1</v>
      </c>
    </row>
    <row r="8" spans="1:32" x14ac:dyDescent="0.35">
      <c r="A8" s="1">
        <v>6</v>
      </c>
      <c r="B8" s="1" t="s">
        <v>29</v>
      </c>
      <c r="C8" s="1">
        <v>3</v>
      </c>
      <c r="D8" s="1">
        <v>3</v>
      </c>
      <c r="E8" s="1">
        <v>3</v>
      </c>
      <c r="F8" s="1">
        <v>12</v>
      </c>
      <c r="G8" s="1">
        <f t="shared" si="0"/>
        <v>9</v>
      </c>
      <c r="H8" s="7">
        <f t="shared" si="1"/>
        <v>3</v>
      </c>
      <c r="I8" s="1">
        <v>2</v>
      </c>
      <c r="J8" s="1">
        <v>2</v>
      </c>
      <c r="K8" s="1">
        <v>2</v>
      </c>
      <c r="L8" s="1">
        <v>12</v>
      </c>
      <c r="M8" s="1">
        <f t="shared" si="2"/>
        <v>6</v>
      </c>
      <c r="N8" s="7">
        <f t="shared" si="3"/>
        <v>2</v>
      </c>
      <c r="O8" s="1">
        <v>2</v>
      </c>
      <c r="P8" s="1">
        <v>2</v>
      </c>
      <c r="Q8" s="1">
        <v>2</v>
      </c>
      <c r="R8" s="1">
        <v>12</v>
      </c>
      <c r="S8" s="1">
        <f t="shared" si="4"/>
        <v>6</v>
      </c>
      <c r="T8" s="7">
        <f t="shared" si="5"/>
        <v>2</v>
      </c>
      <c r="U8" s="1">
        <v>1</v>
      </c>
      <c r="V8" s="1">
        <v>1</v>
      </c>
      <c r="W8" s="1">
        <v>2</v>
      </c>
      <c r="X8" s="1">
        <v>12</v>
      </c>
      <c r="Y8" s="1">
        <f t="shared" si="6"/>
        <v>4</v>
      </c>
      <c r="Z8" s="7">
        <f t="shared" si="7"/>
        <v>1.3333333333333333</v>
      </c>
      <c r="AA8" s="1">
        <v>1</v>
      </c>
      <c r="AB8" s="1">
        <v>1</v>
      </c>
      <c r="AC8" s="1">
        <v>1</v>
      </c>
      <c r="AD8" s="1">
        <v>12</v>
      </c>
      <c r="AE8" s="4">
        <f t="shared" si="8"/>
        <v>3</v>
      </c>
      <c r="AF8" s="7">
        <f t="shared" si="9"/>
        <v>1</v>
      </c>
    </row>
    <row r="9" spans="1:32" x14ac:dyDescent="0.35">
      <c r="A9" s="1">
        <v>7</v>
      </c>
      <c r="B9" s="1" t="s">
        <v>30</v>
      </c>
      <c r="C9" s="1">
        <v>4</v>
      </c>
      <c r="D9" s="1">
        <v>4</v>
      </c>
      <c r="E9" s="1">
        <v>4</v>
      </c>
      <c r="F9" s="1">
        <v>12</v>
      </c>
      <c r="G9" s="1">
        <f t="shared" si="0"/>
        <v>12</v>
      </c>
      <c r="H9" s="7">
        <f t="shared" si="1"/>
        <v>4</v>
      </c>
      <c r="I9" s="1">
        <v>2</v>
      </c>
      <c r="J9" s="1">
        <v>2</v>
      </c>
      <c r="K9" s="1">
        <v>2</v>
      </c>
      <c r="L9" s="1">
        <v>12</v>
      </c>
      <c r="M9" s="1">
        <f t="shared" si="2"/>
        <v>6</v>
      </c>
      <c r="N9" s="7">
        <f t="shared" si="3"/>
        <v>2</v>
      </c>
      <c r="O9" s="1">
        <v>2</v>
      </c>
      <c r="P9" s="1">
        <v>1</v>
      </c>
      <c r="Q9" s="1">
        <v>1</v>
      </c>
      <c r="R9" s="1">
        <v>12</v>
      </c>
      <c r="S9" s="1">
        <f t="shared" si="4"/>
        <v>4</v>
      </c>
      <c r="T9" s="7">
        <f t="shared" si="5"/>
        <v>1.3333333333333333</v>
      </c>
      <c r="U9" s="1">
        <v>1</v>
      </c>
      <c r="V9" s="1">
        <v>1</v>
      </c>
      <c r="W9" s="1">
        <v>2</v>
      </c>
      <c r="X9" s="1">
        <v>12</v>
      </c>
      <c r="Y9" s="1">
        <f t="shared" si="6"/>
        <v>4</v>
      </c>
      <c r="Z9" s="7">
        <f t="shared" si="7"/>
        <v>1.3333333333333333</v>
      </c>
      <c r="AA9" s="1">
        <v>1</v>
      </c>
      <c r="AB9" s="1">
        <v>1</v>
      </c>
      <c r="AC9" s="1">
        <v>1</v>
      </c>
      <c r="AD9" s="1">
        <v>12</v>
      </c>
      <c r="AE9" s="4">
        <f t="shared" si="8"/>
        <v>3</v>
      </c>
      <c r="AF9" s="7">
        <f t="shared" si="9"/>
        <v>1</v>
      </c>
    </row>
    <row r="10" spans="1:32" x14ac:dyDescent="0.35">
      <c r="A10" s="1">
        <v>8</v>
      </c>
      <c r="B10" s="1" t="s">
        <v>31</v>
      </c>
      <c r="C10" s="1">
        <v>3</v>
      </c>
      <c r="D10" s="1">
        <v>3</v>
      </c>
      <c r="E10" s="1">
        <v>3</v>
      </c>
      <c r="F10" s="1">
        <v>12</v>
      </c>
      <c r="G10" s="1">
        <f t="shared" si="0"/>
        <v>9</v>
      </c>
      <c r="H10" s="7">
        <f t="shared" si="1"/>
        <v>3</v>
      </c>
      <c r="I10" s="1">
        <v>3</v>
      </c>
      <c r="J10" s="1">
        <v>3</v>
      </c>
      <c r="K10" s="1">
        <v>3</v>
      </c>
      <c r="L10" s="1">
        <v>12</v>
      </c>
      <c r="M10" s="1">
        <f t="shared" si="2"/>
        <v>9</v>
      </c>
      <c r="N10" s="7">
        <f t="shared" si="3"/>
        <v>3</v>
      </c>
      <c r="O10" s="1">
        <v>3</v>
      </c>
      <c r="P10" s="1">
        <v>3</v>
      </c>
      <c r="Q10" s="1">
        <v>2</v>
      </c>
      <c r="R10" s="1">
        <v>12</v>
      </c>
      <c r="S10" s="1">
        <f t="shared" si="4"/>
        <v>8</v>
      </c>
      <c r="T10" s="7">
        <f t="shared" si="5"/>
        <v>2.6666666666666665</v>
      </c>
      <c r="U10" s="1">
        <v>2</v>
      </c>
      <c r="V10" s="1">
        <v>1</v>
      </c>
      <c r="W10" s="1">
        <v>2</v>
      </c>
      <c r="X10" s="1">
        <v>12</v>
      </c>
      <c r="Y10" s="1">
        <f t="shared" si="6"/>
        <v>5</v>
      </c>
      <c r="Z10" s="7">
        <f t="shared" si="7"/>
        <v>1.6666666666666667</v>
      </c>
      <c r="AA10" s="1">
        <v>2</v>
      </c>
      <c r="AB10" s="1">
        <v>2</v>
      </c>
      <c r="AC10" s="1">
        <v>1</v>
      </c>
      <c r="AD10" s="1">
        <v>12</v>
      </c>
      <c r="AE10" s="4">
        <f t="shared" si="8"/>
        <v>5</v>
      </c>
      <c r="AF10" s="7">
        <f t="shared" si="9"/>
        <v>1.6666666666666667</v>
      </c>
    </row>
    <row r="11" spans="1:32" x14ac:dyDescent="0.35">
      <c r="A11" s="1">
        <v>9</v>
      </c>
      <c r="B11" s="1" t="s">
        <v>32</v>
      </c>
      <c r="C11" s="1">
        <v>4</v>
      </c>
      <c r="D11" s="1">
        <v>3</v>
      </c>
      <c r="E11" s="1">
        <v>3</v>
      </c>
      <c r="F11" s="1">
        <v>12</v>
      </c>
      <c r="G11" s="1">
        <f t="shared" si="0"/>
        <v>10</v>
      </c>
      <c r="H11" s="7">
        <f t="shared" si="1"/>
        <v>3.3333333333333335</v>
      </c>
      <c r="I11" s="1">
        <v>2</v>
      </c>
      <c r="J11" s="1">
        <v>1</v>
      </c>
      <c r="K11" s="1">
        <v>1</v>
      </c>
      <c r="L11" s="1">
        <v>12</v>
      </c>
      <c r="M11" s="1">
        <f t="shared" si="2"/>
        <v>4</v>
      </c>
      <c r="N11" s="7">
        <f t="shared" si="3"/>
        <v>1.3333333333333333</v>
      </c>
      <c r="O11" s="1">
        <v>2</v>
      </c>
      <c r="P11" s="1">
        <v>1</v>
      </c>
      <c r="Q11" s="1">
        <v>1</v>
      </c>
      <c r="R11" s="1">
        <v>12</v>
      </c>
      <c r="S11" s="1">
        <f t="shared" si="4"/>
        <v>4</v>
      </c>
      <c r="T11" s="7">
        <f t="shared" si="5"/>
        <v>1.3333333333333333</v>
      </c>
      <c r="U11" s="1">
        <v>1</v>
      </c>
      <c r="V11" s="1">
        <v>1</v>
      </c>
      <c r="W11" s="1">
        <v>2</v>
      </c>
      <c r="X11" s="1">
        <v>12</v>
      </c>
      <c r="Y11" s="1">
        <f t="shared" si="6"/>
        <v>4</v>
      </c>
      <c r="Z11" s="7">
        <f t="shared" si="7"/>
        <v>1.3333333333333333</v>
      </c>
      <c r="AA11" s="1">
        <v>1</v>
      </c>
      <c r="AB11" s="1">
        <v>1</v>
      </c>
      <c r="AC11" s="1">
        <v>1</v>
      </c>
      <c r="AD11" s="1">
        <v>12</v>
      </c>
      <c r="AE11" s="4">
        <f t="shared" si="8"/>
        <v>3</v>
      </c>
      <c r="AF11" s="7">
        <f t="shared" si="9"/>
        <v>1</v>
      </c>
    </row>
    <row r="12" spans="1:32" x14ac:dyDescent="0.35">
      <c r="A12" s="1">
        <v>10</v>
      </c>
      <c r="B12" s="1" t="s">
        <v>33</v>
      </c>
      <c r="C12" s="1">
        <v>3</v>
      </c>
      <c r="D12" s="1">
        <v>3</v>
      </c>
      <c r="E12" s="1">
        <v>4</v>
      </c>
      <c r="F12" s="1">
        <v>12</v>
      </c>
      <c r="G12" s="1">
        <f t="shared" si="0"/>
        <v>10</v>
      </c>
      <c r="H12" s="7">
        <f t="shared" si="1"/>
        <v>3.3333333333333335</v>
      </c>
      <c r="I12" s="1">
        <v>2</v>
      </c>
      <c r="J12" s="1">
        <v>2</v>
      </c>
      <c r="K12" s="1">
        <v>1</v>
      </c>
      <c r="L12" s="1">
        <v>12</v>
      </c>
      <c r="M12" s="1">
        <f t="shared" si="2"/>
        <v>5</v>
      </c>
      <c r="N12" s="7">
        <f t="shared" si="3"/>
        <v>1.6666666666666667</v>
      </c>
      <c r="O12" s="1">
        <v>2</v>
      </c>
      <c r="P12" s="1">
        <v>1</v>
      </c>
      <c r="Q12" s="1">
        <v>2</v>
      </c>
      <c r="R12" s="1">
        <v>12</v>
      </c>
      <c r="S12" s="1">
        <f t="shared" si="4"/>
        <v>5</v>
      </c>
      <c r="T12" s="7">
        <f t="shared" si="5"/>
        <v>1.6666666666666667</v>
      </c>
      <c r="U12" s="1">
        <v>1</v>
      </c>
      <c r="V12" s="1">
        <v>1</v>
      </c>
      <c r="W12" s="1">
        <v>2</v>
      </c>
      <c r="X12" s="1">
        <v>12</v>
      </c>
      <c r="Y12" s="1">
        <f t="shared" si="6"/>
        <v>4</v>
      </c>
      <c r="Z12" s="7">
        <f t="shared" si="7"/>
        <v>1.3333333333333333</v>
      </c>
      <c r="AA12" s="1">
        <v>1</v>
      </c>
      <c r="AB12" s="1">
        <v>1</v>
      </c>
      <c r="AC12" s="1">
        <v>1</v>
      </c>
      <c r="AD12" s="1">
        <v>12</v>
      </c>
      <c r="AE12" s="4">
        <f t="shared" si="8"/>
        <v>3</v>
      </c>
      <c r="AF12" s="7">
        <f t="shared" si="9"/>
        <v>1</v>
      </c>
    </row>
    <row r="13" spans="1:32" x14ac:dyDescent="0.35">
      <c r="A13" s="1">
        <v>11</v>
      </c>
      <c r="B13" s="1" t="s">
        <v>34</v>
      </c>
      <c r="C13" s="1">
        <v>3</v>
      </c>
      <c r="D13" s="1">
        <v>4</v>
      </c>
      <c r="E13" s="1">
        <v>4</v>
      </c>
      <c r="F13" s="1">
        <v>12</v>
      </c>
      <c r="G13" s="1">
        <f t="shared" si="0"/>
        <v>11</v>
      </c>
      <c r="H13" s="7">
        <f t="shared" si="1"/>
        <v>3.6666666666666665</v>
      </c>
      <c r="I13" s="1">
        <v>2</v>
      </c>
      <c r="J13" s="1">
        <v>2</v>
      </c>
      <c r="K13" s="1">
        <v>2</v>
      </c>
      <c r="L13" s="1">
        <v>12</v>
      </c>
      <c r="M13" s="1">
        <f t="shared" si="2"/>
        <v>6</v>
      </c>
      <c r="N13" s="7">
        <f t="shared" si="3"/>
        <v>2</v>
      </c>
      <c r="O13" s="1">
        <v>2</v>
      </c>
      <c r="P13" s="1">
        <v>1</v>
      </c>
      <c r="Q13" s="1">
        <v>2</v>
      </c>
      <c r="R13" s="1">
        <v>12</v>
      </c>
      <c r="S13" s="1">
        <f t="shared" si="4"/>
        <v>5</v>
      </c>
      <c r="T13" s="7">
        <f t="shared" si="5"/>
        <v>1.6666666666666667</v>
      </c>
      <c r="U13" s="1">
        <v>1</v>
      </c>
      <c r="V13" s="1">
        <v>1</v>
      </c>
      <c r="W13" s="1">
        <v>2</v>
      </c>
      <c r="X13" s="1">
        <v>12</v>
      </c>
      <c r="Y13" s="1">
        <f t="shared" si="6"/>
        <v>4</v>
      </c>
      <c r="Z13" s="7">
        <f t="shared" si="7"/>
        <v>1.3333333333333333</v>
      </c>
      <c r="AA13" s="1">
        <v>1</v>
      </c>
      <c r="AB13" s="1">
        <v>1</v>
      </c>
      <c r="AC13" s="1">
        <v>1</v>
      </c>
      <c r="AD13" s="1">
        <v>12</v>
      </c>
      <c r="AE13" s="4">
        <f t="shared" si="8"/>
        <v>3</v>
      </c>
      <c r="AF13" s="7">
        <f t="shared" si="9"/>
        <v>1</v>
      </c>
    </row>
    <row r="14" spans="1:32" x14ac:dyDescent="0.35">
      <c r="A14" s="1">
        <v>12</v>
      </c>
      <c r="B14" s="1" t="s">
        <v>35</v>
      </c>
      <c r="C14" s="1">
        <v>4</v>
      </c>
      <c r="D14" s="1">
        <v>4</v>
      </c>
      <c r="E14" s="1">
        <v>3</v>
      </c>
      <c r="F14" s="1">
        <v>12</v>
      </c>
      <c r="G14" s="1">
        <f t="shared" si="0"/>
        <v>11</v>
      </c>
      <c r="H14" s="7">
        <f t="shared" si="1"/>
        <v>3.6666666666666665</v>
      </c>
      <c r="I14" s="1">
        <v>3</v>
      </c>
      <c r="J14" s="1">
        <v>3</v>
      </c>
      <c r="K14" s="1">
        <v>4</v>
      </c>
      <c r="L14" s="1">
        <v>12</v>
      </c>
      <c r="M14" s="1">
        <f t="shared" si="2"/>
        <v>10</v>
      </c>
      <c r="N14" s="7">
        <f t="shared" si="3"/>
        <v>3.3333333333333335</v>
      </c>
      <c r="O14" s="1">
        <v>4</v>
      </c>
      <c r="P14" s="1">
        <v>4</v>
      </c>
      <c r="Q14" s="1">
        <v>4</v>
      </c>
      <c r="R14" s="1">
        <v>12</v>
      </c>
      <c r="S14" s="1">
        <f t="shared" si="4"/>
        <v>12</v>
      </c>
      <c r="T14" s="7">
        <f t="shared" si="5"/>
        <v>4</v>
      </c>
      <c r="U14" s="1">
        <v>4</v>
      </c>
      <c r="V14" s="1">
        <v>3</v>
      </c>
      <c r="W14" s="1">
        <v>3</v>
      </c>
      <c r="X14" s="1">
        <v>12</v>
      </c>
      <c r="Y14" s="1">
        <f t="shared" si="6"/>
        <v>10</v>
      </c>
      <c r="Z14" s="7">
        <f t="shared" si="7"/>
        <v>3.3333333333333335</v>
      </c>
      <c r="AA14" s="1">
        <v>4</v>
      </c>
      <c r="AB14" s="1">
        <v>4</v>
      </c>
      <c r="AC14" s="1">
        <v>4</v>
      </c>
      <c r="AD14" s="1">
        <v>12</v>
      </c>
      <c r="AE14" s="4">
        <f t="shared" si="8"/>
        <v>12</v>
      </c>
      <c r="AF14" s="7">
        <f t="shared" si="9"/>
        <v>4</v>
      </c>
    </row>
    <row r="15" spans="1:32" x14ac:dyDescent="0.35">
      <c r="A15" s="1">
        <v>13</v>
      </c>
      <c r="B15" s="1" t="s">
        <v>36</v>
      </c>
      <c r="C15" s="1">
        <v>4</v>
      </c>
      <c r="D15" s="1">
        <v>4</v>
      </c>
      <c r="E15" s="1">
        <v>4</v>
      </c>
      <c r="F15" s="1">
        <v>12</v>
      </c>
      <c r="G15" s="1">
        <f t="shared" si="0"/>
        <v>12</v>
      </c>
      <c r="H15" s="7">
        <f t="shared" si="1"/>
        <v>4</v>
      </c>
      <c r="I15" s="1">
        <v>3</v>
      </c>
      <c r="J15" s="1">
        <v>2</v>
      </c>
      <c r="K15" s="1">
        <v>2</v>
      </c>
      <c r="L15" s="1">
        <v>12</v>
      </c>
      <c r="M15" s="1">
        <f t="shared" si="2"/>
        <v>7</v>
      </c>
      <c r="N15" s="7">
        <f t="shared" si="3"/>
        <v>2.3333333333333335</v>
      </c>
      <c r="O15" s="1">
        <v>3</v>
      </c>
      <c r="P15" s="1">
        <v>2</v>
      </c>
      <c r="Q15" s="1">
        <v>1</v>
      </c>
      <c r="R15" s="1">
        <v>12</v>
      </c>
      <c r="S15" s="1">
        <f t="shared" si="4"/>
        <v>6</v>
      </c>
      <c r="T15" s="7">
        <f t="shared" si="5"/>
        <v>2</v>
      </c>
      <c r="U15" s="1">
        <v>2</v>
      </c>
      <c r="V15" s="1">
        <v>3</v>
      </c>
      <c r="W15" s="1">
        <v>2</v>
      </c>
      <c r="X15" s="1">
        <v>12</v>
      </c>
      <c r="Y15" s="1">
        <f t="shared" si="6"/>
        <v>7</v>
      </c>
      <c r="Z15" s="7">
        <f t="shared" si="7"/>
        <v>2.3333333333333335</v>
      </c>
      <c r="AA15" s="1">
        <v>2</v>
      </c>
      <c r="AB15" s="1">
        <v>2</v>
      </c>
      <c r="AC15" s="1">
        <v>1</v>
      </c>
      <c r="AD15" s="1">
        <v>12</v>
      </c>
      <c r="AE15" s="4">
        <f t="shared" si="8"/>
        <v>5</v>
      </c>
      <c r="AF15" s="7">
        <f t="shared" si="9"/>
        <v>1.6666666666666667</v>
      </c>
    </row>
    <row r="16" spans="1:32" x14ac:dyDescent="0.35">
      <c r="A16" s="1">
        <v>14</v>
      </c>
      <c r="B16" s="1" t="s">
        <v>37</v>
      </c>
      <c r="C16" s="1">
        <v>4</v>
      </c>
      <c r="D16" s="1">
        <v>4</v>
      </c>
      <c r="E16" s="1">
        <v>4</v>
      </c>
      <c r="F16" s="1">
        <v>12</v>
      </c>
      <c r="G16" s="1">
        <f t="shared" si="0"/>
        <v>12</v>
      </c>
      <c r="H16" s="7">
        <f t="shared" si="1"/>
        <v>4</v>
      </c>
      <c r="I16" s="1">
        <v>2</v>
      </c>
      <c r="J16" s="1">
        <v>2</v>
      </c>
      <c r="K16" s="1">
        <v>1</v>
      </c>
      <c r="L16" s="1">
        <v>12</v>
      </c>
      <c r="M16" s="1">
        <f t="shared" si="2"/>
        <v>5</v>
      </c>
      <c r="N16" s="7">
        <f t="shared" si="3"/>
        <v>1.6666666666666667</v>
      </c>
      <c r="O16" s="1">
        <v>2</v>
      </c>
      <c r="P16" s="1">
        <v>1</v>
      </c>
      <c r="Q16" s="1">
        <v>1</v>
      </c>
      <c r="R16" s="1">
        <v>12</v>
      </c>
      <c r="S16" s="1">
        <f t="shared" si="4"/>
        <v>4</v>
      </c>
      <c r="T16" s="7">
        <f t="shared" si="5"/>
        <v>1.3333333333333333</v>
      </c>
      <c r="U16" s="1">
        <v>1</v>
      </c>
      <c r="V16" s="1">
        <v>1</v>
      </c>
      <c r="W16" s="1">
        <v>1</v>
      </c>
      <c r="X16" s="1">
        <v>12</v>
      </c>
      <c r="Y16" s="1">
        <f t="shared" si="6"/>
        <v>3</v>
      </c>
      <c r="Z16" s="7">
        <f t="shared" si="7"/>
        <v>1</v>
      </c>
      <c r="AA16" s="1">
        <v>1</v>
      </c>
      <c r="AB16" s="1">
        <v>1</v>
      </c>
      <c r="AC16" s="1">
        <v>1</v>
      </c>
      <c r="AD16" s="1">
        <v>12</v>
      </c>
      <c r="AE16" s="4">
        <f t="shared" si="8"/>
        <v>3</v>
      </c>
      <c r="AF16" s="7">
        <f t="shared" si="9"/>
        <v>1</v>
      </c>
    </row>
    <row r="17" spans="1:32" x14ac:dyDescent="0.35">
      <c r="A17" s="1">
        <v>15</v>
      </c>
      <c r="B17" s="1" t="s">
        <v>38</v>
      </c>
      <c r="C17" s="1">
        <v>4</v>
      </c>
      <c r="D17" s="1">
        <v>4</v>
      </c>
      <c r="E17" s="1">
        <v>3</v>
      </c>
      <c r="F17" s="1">
        <v>12</v>
      </c>
      <c r="G17" s="1">
        <f t="shared" si="0"/>
        <v>11</v>
      </c>
      <c r="H17" s="7">
        <f t="shared" si="1"/>
        <v>3.6666666666666665</v>
      </c>
      <c r="I17" s="1">
        <v>4</v>
      </c>
      <c r="J17" s="1">
        <v>3</v>
      </c>
      <c r="K17" s="1">
        <v>3</v>
      </c>
      <c r="L17" s="1">
        <v>12</v>
      </c>
      <c r="M17" s="1">
        <f t="shared" si="2"/>
        <v>10</v>
      </c>
      <c r="N17" s="7">
        <f t="shared" si="3"/>
        <v>3.3333333333333335</v>
      </c>
      <c r="O17" s="1">
        <v>2</v>
      </c>
      <c r="P17" s="1">
        <v>2</v>
      </c>
      <c r="Q17" s="1">
        <v>2</v>
      </c>
      <c r="R17" s="1">
        <v>12</v>
      </c>
      <c r="S17" s="1">
        <f t="shared" si="4"/>
        <v>6</v>
      </c>
      <c r="T17" s="7">
        <f t="shared" si="5"/>
        <v>2</v>
      </c>
      <c r="U17" s="1">
        <v>2</v>
      </c>
      <c r="V17" s="1">
        <v>1</v>
      </c>
      <c r="W17" s="1">
        <v>2</v>
      </c>
      <c r="X17" s="1">
        <v>12</v>
      </c>
      <c r="Y17" s="1">
        <f t="shared" si="6"/>
        <v>5</v>
      </c>
      <c r="Z17" s="7">
        <f t="shared" si="7"/>
        <v>1.6666666666666667</v>
      </c>
      <c r="AA17" s="1">
        <v>2</v>
      </c>
      <c r="AB17" s="1">
        <v>2</v>
      </c>
      <c r="AC17" s="1">
        <v>1</v>
      </c>
      <c r="AD17" s="1">
        <v>12</v>
      </c>
      <c r="AE17" s="4">
        <f t="shared" si="8"/>
        <v>5</v>
      </c>
      <c r="AF17" s="7">
        <f t="shared" si="9"/>
        <v>1.6666666666666667</v>
      </c>
    </row>
    <row r="18" spans="1:32" x14ac:dyDescent="0.35">
      <c r="A18" s="1">
        <v>16</v>
      </c>
      <c r="B18" s="1" t="s">
        <v>64</v>
      </c>
      <c r="C18" s="1">
        <v>3</v>
      </c>
      <c r="D18" s="1">
        <v>3</v>
      </c>
      <c r="E18" s="1">
        <v>3</v>
      </c>
      <c r="F18" s="1">
        <v>12</v>
      </c>
      <c r="G18" s="1">
        <f t="shared" si="0"/>
        <v>9</v>
      </c>
      <c r="H18" s="7">
        <f t="shared" si="1"/>
        <v>3</v>
      </c>
      <c r="I18" s="1">
        <v>3</v>
      </c>
      <c r="J18" s="1">
        <v>2</v>
      </c>
      <c r="K18" s="1">
        <v>2</v>
      </c>
      <c r="L18" s="1">
        <v>12</v>
      </c>
      <c r="M18" s="1">
        <f t="shared" si="2"/>
        <v>7</v>
      </c>
      <c r="N18" s="7">
        <f t="shared" si="3"/>
        <v>2.3333333333333335</v>
      </c>
      <c r="O18" s="1">
        <v>3</v>
      </c>
      <c r="P18" s="1">
        <v>2</v>
      </c>
      <c r="Q18" s="1">
        <v>2</v>
      </c>
      <c r="R18" s="1">
        <v>12</v>
      </c>
      <c r="S18" s="1">
        <f t="shared" si="4"/>
        <v>7</v>
      </c>
      <c r="T18" s="7">
        <f t="shared" si="5"/>
        <v>2.3333333333333335</v>
      </c>
      <c r="U18" s="1">
        <v>2</v>
      </c>
      <c r="V18" s="1">
        <v>2</v>
      </c>
      <c r="W18" s="1">
        <v>2</v>
      </c>
      <c r="X18" s="1">
        <v>12</v>
      </c>
      <c r="Y18" s="1">
        <f t="shared" si="6"/>
        <v>6</v>
      </c>
      <c r="Z18" s="7">
        <f t="shared" si="7"/>
        <v>2</v>
      </c>
      <c r="AA18" s="1">
        <v>2</v>
      </c>
      <c r="AB18" s="1">
        <v>1</v>
      </c>
      <c r="AC18" s="1">
        <v>1</v>
      </c>
      <c r="AD18" s="1">
        <v>12</v>
      </c>
      <c r="AE18" s="4">
        <f t="shared" si="8"/>
        <v>4</v>
      </c>
      <c r="AF18" s="7">
        <f t="shared" si="9"/>
        <v>1.3333333333333333</v>
      </c>
    </row>
    <row r="19" spans="1:32" x14ac:dyDescent="0.35">
      <c r="A19" s="1">
        <v>17</v>
      </c>
      <c r="B19" s="1" t="s">
        <v>40</v>
      </c>
      <c r="C19" s="1">
        <v>4</v>
      </c>
      <c r="D19" s="1">
        <v>4</v>
      </c>
      <c r="E19" s="1">
        <v>4</v>
      </c>
      <c r="F19" s="1">
        <v>12</v>
      </c>
      <c r="G19" s="1">
        <f t="shared" si="0"/>
        <v>12</v>
      </c>
      <c r="H19" s="7">
        <f t="shared" si="1"/>
        <v>4</v>
      </c>
      <c r="I19" s="1">
        <v>3</v>
      </c>
      <c r="J19" s="1">
        <v>4</v>
      </c>
      <c r="K19" s="1">
        <v>4</v>
      </c>
      <c r="L19" s="1">
        <v>12</v>
      </c>
      <c r="M19" s="1">
        <f t="shared" si="2"/>
        <v>11</v>
      </c>
      <c r="N19" s="7">
        <f t="shared" si="3"/>
        <v>3.6666666666666665</v>
      </c>
      <c r="O19" s="1">
        <v>4</v>
      </c>
      <c r="P19" s="1">
        <v>3</v>
      </c>
      <c r="Q19" s="1">
        <v>4</v>
      </c>
      <c r="R19" s="1">
        <v>12</v>
      </c>
      <c r="S19" s="1">
        <f t="shared" si="4"/>
        <v>11</v>
      </c>
      <c r="T19" s="7">
        <f t="shared" si="5"/>
        <v>3.6666666666666665</v>
      </c>
      <c r="U19" s="1">
        <v>4</v>
      </c>
      <c r="V19" s="1">
        <v>4</v>
      </c>
      <c r="W19" s="1">
        <v>3</v>
      </c>
      <c r="X19" s="1">
        <v>12</v>
      </c>
      <c r="Y19" s="1">
        <f t="shared" si="6"/>
        <v>11</v>
      </c>
      <c r="Z19" s="7">
        <f t="shared" si="7"/>
        <v>3.6666666666666665</v>
      </c>
      <c r="AA19" s="1">
        <v>3</v>
      </c>
      <c r="AB19" s="1">
        <v>2</v>
      </c>
      <c r="AC19" s="1">
        <v>4</v>
      </c>
      <c r="AD19" s="1">
        <v>12</v>
      </c>
      <c r="AE19" s="4">
        <f t="shared" si="8"/>
        <v>9</v>
      </c>
      <c r="AF19" s="7">
        <f t="shared" si="9"/>
        <v>3</v>
      </c>
    </row>
    <row r="20" spans="1:32" x14ac:dyDescent="0.35">
      <c r="A20" s="1">
        <v>18</v>
      </c>
      <c r="B20" s="1" t="s">
        <v>41</v>
      </c>
      <c r="C20" s="1">
        <v>4</v>
      </c>
      <c r="D20" s="1">
        <v>4</v>
      </c>
      <c r="E20" s="1">
        <v>4</v>
      </c>
      <c r="F20" s="1">
        <v>12</v>
      </c>
      <c r="G20" s="1">
        <f t="shared" si="0"/>
        <v>12</v>
      </c>
      <c r="H20" s="7">
        <f t="shared" si="1"/>
        <v>4</v>
      </c>
      <c r="I20" s="1">
        <v>2</v>
      </c>
      <c r="J20" s="1">
        <v>2</v>
      </c>
      <c r="K20" s="1">
        <v>1</v>
      </c>
      <c r="L20" s="1">
        <v>12</v>
      </c>
      <c r="M20" s="1">
        <f t="shared" si="2"/>
        <v>5</v>
      </c>
      <c r="N20" s="7">
        <f t="shared" si="3"/>
        <v>1.6666666666666667</v>
      </c>
      <c r="O20" s="1">
        <v>2</v>
      </c>
      <c r="P20" s="1">
        <v>1</v>
      </c>
      <c r="Q20" s="1">
        <v>1</v>
      </c>
      <c r="R20" s="1">
        <v>12</v>
      </c>
      <c r="S20" s="1">
        <f t="shared" si="4"/>
        <v>4</v>
      </c>
      <c r="T20" s="7">
        <f t="shared" si="5"/>
        <v>1.3333333333333333</v>
      </c>
      <c r="U20" s="1">
        <v>2</v>
      </c>
      <c r="V20" s="1">
        <v>1</v>
      </c>
      <c r="W20" s="1">
        <v>1</v>
      </c>
      <c r="X20" s="1">
        <v>12</v>
      </c>
      <c r="Y20" s="1">
        <f t="shared" si="6"/>
        <v>4</v>
      </c>
      <c r="Z20" s="7">
        <f t="shared" si="7"/>
        <v>1.3333333333333333</v>
      </c>
      <c r="AA20" s="1">
        <v>1</v>
      </c>
      <c r="AB20" s="1">
        <v>1</v>
      </c>
      <c r="AC20" s="1">
        <v>1</v>
      </c>
      <c r="AD20" s="1">
        <v>12</v>
      </c>
      <c r="AE20" s="4">
        <f t="shared" si="8"/>
        <v>3</v>
      </c>
      <c r="AF20" s="7">
        <f t="shared" si="9"/>
        <v>1</v>
      </c>
    </row>
    <row r="21" spans="1:32" x14ac:dyDescent="0.35">
      <c r="A21" s="1">
        <v>19</v>
      </c>
      <c r="B21" s="1" t="s">
        <v>42</v>
      </c>
      <c r="C21" s="1">
        <v>4</v>
      </c>
      <c r="D21" s="1">
        <v>4</v>
      </c>
      <c r="E21" s="1">
        <v>3</v>
      </c>
      <c r="F21" s="1">
        <v>12</v>
      </c>
      <c r="G21" s="1">
        <f t="shared" si="0"/>
        <v>11</v>
      </c>
      <c r="H21" s="7">
        <f t="shared" si="1"/>
        <v>3.6666666666666665</v>
      </c>
      <c r="I21" s="1">
        <v>2</v>
      </c>
      <c r="J21" s="1">
        <v>2</v>
      </c>
      <c r="K21" s="1">
        <v>1</v>
      </c>
      <c r="L21" s="1">
        <v>12</v>
      </c>
      <c r="M21" s="1">
        <f t="shared" si="2"/>
        <v>5</v>
      </c>
      <c r="N21" s="7">
        <f t="shared" si="3"/>
        <v>1.6666666666666667</v>
      </c>
      <c r="O21" s="1">
        <v>3</v>
      </c>
      <c r="P21" s="1">
        <v>2</v>
      </c>
      <c r="Q21" s="1">
        <v>3</v>
      </c>
      <c r="R21" s="1">
        <v>12</v>
      </c>
      <c r="S21" s="1">
        <f t="shared" si="4"/>
        <v>8</v>
      </c>
      <c r="T21" s="7">
        <f t="shared" si="5"/>
        <v>2.6666666666666665</v>
      </c>
      <c r="U21" s="1">
        <v>2</v>
      </c>
      <c r="V21" s="1">
        <v>1</v>
      </c>
      <c r="W21" s="1">
        <v>2</v>
      </c>
      <c r="X21" s="1">
        <v>12</v>
      </c>
      <c r="Y21" s="1">
        <f t="shared" si="6"/>
        <v>5</v>
      </c>
      <c r="Z21" s="7">
        <f t="shared" si="7"/>
        <v>1.6666666666666667</v>
      </c>
      <c r="AA21" s="1">
        <v>1</v>
      </c>
      <c r="AB21" s="1">
        <v>1</v>
      </c>
      <c r="AC21" s="1">
        <v>1</v>
      </c>
      <c r="AD21" s="1">
        <v>12</v>
      </c>
      <c r="AE21" s="4">
        <f t="shared" si="8"/>
        <v>3</v>
      </c>
      <c r="AF21" s="7">
        <f t="shared" si="9"/>
        <v>1</v>
      </c>
    </row>
    <row r="22" spans="1:32" x14ac:dyDescent="0.35">
      <c r="A22" s="1">
        <v>20</v>
      </c>
      <c r="B22" s="1" t="s">
        <v>43</v>
      </c>
      <c r="C22" s="1">
        <v>4</v>
      </c>
      <c r="D22" s="1">
        <v>3</v>
      </c>
      <c r="E22" s="1">
        <v>4</v>
      </c>
      <c r="F22" s="1">
        <v>12</v>
      </c>
      <c r="G22" s="1">
        <f t="shared" si="0"/>
        <v>11</v>
      </c>
      <c r="H22" s="7">
        <f t="shared" si="1"/>
        <v>3.6666666666666665</v>
      </c>
      <c r="I22" s="1">
        <v>2</v>
      </c>
      <c r="J22" s="1">
        <v>2</v>
      </c>
      <c r="K22" s="1">
        <v>1</v>
      </c>
      <c r="L22" s="1">
        <v>12</v>
      </c>
      <c r="M22" s="1">
        <f t="shared" si="2"/>
        <v>5</v>
      </c>
      <c r="N22" s="7">
        <f t="shared" si="3"/>
        <v>1.6666666666666667</v>
      </c>
      <c r="O22" s="1">
        <v>3</v>
      </c>
      <c r="P22" s="1">
        <v>1</v>
      </c>
      <c r="Q22" s="1">
        <v>1</v>
      </c>
      <c r="R22" s="1">
        <v>12</v>
      </c>
      <c r="S22" s="1">
        <f t="shared" si="4"/>
        <v>5</v>
      </c>
      <c r="T22" s="7">
        <f t="shared" si="5"/>
        <v>1.6666666666666667</v>
      </c>
      <c r="U22" s="1">
        <v>2</v>
      </c>
      <c r="V22" s="1">
        <v>3</v>
      </c>
      <c r="W22" s="1">
        <v>3</v>
      </c>
      <c r="X22" s="1">
        <v>12</v>
      </c>
      <c r="Y22" s="1">
        <f t="shared" si="6"/>
        <v>8</v>
      </c>
      <c r="Z22" s="7">
        <f t="shared" si="7"/>
        <v>2.6666666666666665</v>
      </c>
      <c r="AA22" s="1">
        <v>2</v>
      </c>
      <c r="AB22" s="1">
        <v>2</v>
      </c>
      <c r="AC22" s="1">
        <v>2</v>
      </c>
      <c r="AD22" s="1">
        <v>12</v>
      </c>
      <c r="AE22" s="4">
        <f t="shared" si="8"/>
        <v>6</v>
      </c>
      <c r="AF22" s="7">
        <f t="shared" si="9"/>
        <v>2</v>
      </c>
    </row>
    <row r="23" spans="1:32" x14ac:dyDescent="0.35">
      <c r="A23" s="1">
        <v>21</v>
      </c>
      <c r="B23" s="1" t="s">
        <v>44</v>
      </c>
      <c r="C23" s="1">
        <v>3</v>
      </c>
      <c r="D23" s="1">
        <v>4</v>
      </c>
      <c r="E23" s="1">
        <v>3</v>
      </c>
      <c r="F23" s="1">
        <v>12</v>
      </c>
      <c r="G23" s="1">
        <f t="shared" si="0"/>
        <v>10</v>
      </c>
      <c r="H23" s="7">
        <f t="shared" si="1"/>
        <v>3.3333333333333335</v>
      </c>
      <c r="I23" s="1">
        <v>2</v>
      </c>
      <c r="J23" s="1">
        <v>2</v>
      </c>
      <c r="K23" s="1">
        <v>3</v>
      </c>
      <c r="L23" s="1">
        <v>12</v>
      </c>
      <c r="M23" s="1">
        <f t="shared" si="2"/>
        <v>7</v>
      </c>
      <c r="N23" s="7">
        <f t="shared" si="3"/>
        <v>2.3333333333333335</v>
      </c>
      <c r="O23" s="1">
        <v>4</v>
      </c>
      <c r="P23" s="1">
        <v>2</v>
      </c>
      <c r="Q23" s="1">
        <v>3</v>
      </c>
      <c r="R23" s="1">
        <v>12</v>
      </c>
      <c r="S23" s="1">
        <f t="shared" si="4"/>
        <v>9</v>
      </c>
      <c r="T23" s="7">
        <f t="shared" si="5"/>
        <v>3</v>
      </c>
      <c r="U23" s="1">
        <v>3</v>
      </c>
      <c r="V23" s="1">
        <v>3</v>
      </c>
      <c r="W23" s="1">
        <v>4</v>
      </c>
      <c r="X23" s="1">
        <v>12</v>
      </c>
      <c r="Y23" s="1">
        <f t="shared" si="6"/>
        <v>10</v>
      </c>
      <c r="Z23" s="7">
        <f t="shared" si="7"/>
        <v>3.3333333333333335</v>
      </c>
      <c r="AA23" s="1">
        <v>4</v>
      </c>
      <c r="AB23" s="1">
        <v>3</v>
      </c>
      <c r="AC23" s="1">
        <v>4</v>
      </c>
      <c r="AD23" s="1">
        <v>12</v>
      </c>
      <c r="AE23" s="4">
        <f t="shared" si="8"/>
        <v>11</v>
      </c>
      <c r="AF23" s="7">
        <f t="shared" si="9"/>
        <v>3.6666666666666665</v>
      </c>
    </row>
    <row r="24" spans="1:32" x14ac:dyDescent="0.35">
      <c r="A24" s="1">
        <v>22</v>
      </c>
      <c r="B24" s="1" t="s">
        <v>45</v>
      </c>
      <c r="C24" s="1">
        <v>4</v>
      </c>
      <c r="D24" s="1">
        <v>4</v>
      </c>
      <c r="E24" s="1">
        <v>3</v>
      </c>
      <c r="F24" s="1">
        <v>12</v>
      </c>
      <c r="G24" s="1">
        <f t="shared" si="0"/>
        <v>11</v>
      </c>
      <c r="H24" s="7">
        <f t="shared" si="1"/>
        <v>3.6666666666666665</v>
      </c>
      <c r="I24" s="1">
        <v>2</v>
      </c>
      <c r="J24" s="1">
        <v>3</v>
      </c>
      <c r="K24" s="1">
        <v>3</v>
      </c>
      <c r="L24" s="1">
        <v>12</v>
      </c>
      <c r="M24" s="1">
        <f t="shared" si="2"/>
        <v>8</v>
      </c>
      <c r="N24" s="7">
        <f t="shared" si="3"/>
        <v>2.6666666666666665</v>
      </c>
      <c r="O24" s="1">
        <v>3</v>
      </c>
      <c r="P24" s="1">
        <v>3</v>
      </c>
      <c r="Q24" s="1">
        <v>2</v>
      </c>
      <c r="R24" s="1">
        <v>12</v>
      </c>
      <c r="S24" s="1">
        <f t="shared" si="4"/>
        <v>8</v>
      </c>
      <c r="T24" s="7">
        <f t="shared" si="5"/>
        <v>2.6666666666666665</v>
      </c>
      <c r="U24" s="1">
        <v>3</v>
      </c>
      <c r="V24" s="1">
        <v>3</v>
      </c>
      <c r="W24" s="1">
        <v>3</v>
      </c>
      <c r="X24" s="1">
        <v>12</v>
      </c>
      <c r="Y24" s="1">
        <f t="shared" si="6"/>
        <v>9</v>
      </c>
      <c r="Z24" s="7">
        <f t="shared" si="7"/>
        <v>3</v>
      </c>
      <c r="AA24" s="1">
        <v>4</v>
      </c>
      <c r="AB24" s="1">
        <v>4</v>
      </c>
      <c r="AC24" s="1">
        <v>3</v>
      </c>
      <c r="AD24" s="1">
        <v>12</v>
      </c>
      <c r="AE24" s="4">
        <f t="shared" si="8"/>
        <v>11</v>
      </c>
      <c r="AF24" s="7">
        <f t="shared" si="9"/>
        <v>3.6666666666666665</v>
      </c>
    </row>
    <row r="25" spans="1:32" x14ac:dyDescent="0.35">
      <c r="A25" s="1">
        <v>23</v>
      </c>
      <c r="B25" s="1" t="s">
        <v>46</v>
      </c>
      <c r="C25" s="1">
        <v>4</v>
      </c>
      <c r="D25" s="1">
        <v>4</v>
      </c>
      <c r="E25" s="1">
        <v>4</v>
      </c>
      <c r="F25" s="1">
        <v>12</v>
      </c>
      <c r="G25" s="1">
        <f t="shared" si="0"/>
        <v>12</v>
      </c>
      <c r="H25" s="7">
        <f t="shared" si="1"/>
        <v>4</v>
      </c>
      <c r="I25" s="1">
        <v>3</v>
      </c>
      <c r="J25" s="1">
        <v>2</v>
      </c>
      <c r="K25" s="1">
        <v>2</v>
      </c>
      <c r="L25" s="1">
        <v>12</v>
      </c>
      <c r="M25" s="1">
        <f t="shared" si="2"/>
        <v>7</v>
      </c>
      <c r="N25" s="7">
        <f t="shared" si="3"/>
        <v>2.3333333333333335</v>
      </c>
      <c r="O25" s="1">
        <v>2</v>
      </c>
      <c r="P25" s="1">
        <v>2</v>
      </c>
      <c r="Q25" s="1">
        <v>1</v>
      </c>
      <c r="R25" s="1">
        <v>12</v>
      </c>
      <c r="S25" s="1">
        <f t="shared" si="4"/>
        <v>5</v>
      </c>
      <c r="T25" s="7">
        <f t="shared" si="5"/>
        <v>1.6666666666666667</v>
      </c>
      <c r="U25" s="1">
        <v>3</v>
      </c>
      <c r="V25" s="1">
        <v>3</v>
      </c>
      <c r="W25" s="1">
        <v>3</v>
      </c>
      <c r="X25" s="1">
        <v>12</v>
      </c>
      <c r="Y25" s="1">
        <f t="shared" si="6"/>
        <v>9</v>
      </c>
      <c r="Z25" s="7">
        <f t="shared" si="7"/>
        <v>3</v>
      </c>
      <c r="AA25" s="1">
        <v>2</v>
      </c>
      <c r="AB25" s="1">
        <v>1</v>
      </c>
      <c r="AC25" s="1">
        <v>3</v>
      </c>
      <c r="AD25" s="1">
        <v>12</v>
      </c>
      <c r="AE25" s="4">
        <f t="shared" si="8"/>
        <v>6</v>
      </c>
      <c r="AF25" s="7">
        <f t="shared" si="9"/>
        <v>2</v>
      </c>
    </row>
    <row r="26" spans="1:32" x14ac:dyDescent="0.35">
      <c r="A26" s="1">
        <v>24</v>
      </c>
      <c r="B26" s="1" t="s">
        <v>47</v>
      </c>
      <c r="C26" s="1">
        <v>3</v>
      </c>
      <c r="D26" s="1">
        <v>3</v>
      </c>
      <c r="E26" s="1">
        <v>4</v>
      </c>
      <c r="F26" s="1">
        <v>12</v>
      </c>
      <c r="G26" s="1">
        <f t="shared" si="0"/>
        <v>10</v>
      </c>
      <c r="H26" s="7">
        <f t="shared" si="1"/>
        <v>3.3333333333333335</v>
      </c>
      <c r="I26" s="1">
        <v>2</v>
      </c>
      <c r="J26" s="1">
        <v>2</v>
      </c>
      <c r="K26" s="1">
        <v>2</v>
      </c>
      <c r="L26" s="1">
        <v>12</v>
      </c>
      <c r="M26" s="1">
        <f t="shared" si="2"/>
        <v>6</v>
      </c>
      <c r="N26" s="7">
        <f t="shared" si="3"/>
        <v>2</v>
      </c>
      <c r="O26" s="1">
        <v>3</v>
      </c>
      <c r="P26" s="1">
        <v>2</v>
      </c>
      <c r="Q26" s="1">
        <v>2</v>
      </c>
      <c r="R26" s="1">
        <v>12</v>
      </c>
      <c r="S26" s="1">
        <f t="shared" si="4"/>
        <v>7</v>
      </c>
      <c r="T26" s="7">
        <f t="shared" si="5"/>
        <v>2.3333333333333335</v>
      </c>
      <c r="U26" s="1">
        <v>2</v>
      </c>
      <c r="V26" s="1">
        <v>4</v>
      </c>
      <c r="W26" s="1">
        <v>3</v>
      </c>
      <c r="X26" s="1">
        <v>12</v>
      </c>
      <c r="Y26" s="1">
        <f t="shared" si="6"/>
        <v>9</v>
      </c>
      <c r="Z26" s="7">
        <f t="shared" si="7"/>
        <v>3</v>
      </c>
      <c r="AA26" s="1">
        <v>2</v>
      </c>
      <c r="AB26" s="1">
        <v>2</v>
      </c>
      <c r="AC26" s="1">
        <v>3</v>
      </c>
      <c r="AD26" s="1">
        <v>12</v>
      </c>
      <c r="AE26" s="4">
        <f t="shared" si="8"/>
        <v>7</v>
      </c>
      <c r="AF26" s="7">
        <f t="shared" si="9"/>
        <v>2.3333333333333335</v>
      </c>
    </row>
    <row r="27" spans="1:32" x14ac:dyDescent="0.35">
      <c r="A27" s="1">
        <v>25</v>
      </c>
      <c r="B27" s="1" t="s">
        <v>48</v>
      </c>
      <c r="C27" s="1">
        <v>3</v>
      </c>
      <c r="D27" s="1">
        <v>4</v>
      </c>
      <c r="E27" s="1">
        <v>4</v>
      </c>
      <c r="F27" s="1">
        <v>12</v>
      </c>
      <c r="G27" s="1">
        <f t="shared" si="0"/>
        <v>11</v>
      </c>
      <c r="H27" s="7">
        <f t="shared" si="1"/>
        <v>3.6666666666666665</v>
      </c>
      <c r="I27" s="1">
        <v>2</v>
      </c>
      <c r="J27" s="1">
        <v>2</v>
      </c>
      <c r="K27" s="1">
        <v>1</v>
      </c>
      <c r="L27" s="1">
        <v>12</v>
      </c>
      <c r="M27" s="1">
        <f t="shared" si="2"/>
        <v>5</v>
      </c>
      <c r="N27" s="7">
        <f t="shared" si="3"/>
        <v>1.6666666666666667</v>
      </c>
      <c r="O27" s="1">
        <v>2</v>
      </c>
      <c r="P27" s="1">
        <v>2</v>
      </c>
      <c r="Q27" s="1">
        <v>2</v>
      </c>
      <c r="R27" s="1">
        <v>12</v>
      </c>
      <c r="S27" s="1">
        <f t="shared" si="4"/>
        <v>6</v>
      </c>
      <c r="T27" s="7">
        <f t="shared" si="5"/>
        <v>2</v>
      </c>
      <c r="U27" s="1">
        <v>2</v>
      </c>
      <c r="V27" s="1">
        <v>1</v>
      </c>
      <c r="W27" s="1">
        <v>2</v>
      </c>
      <c r="X27" s="1">
        <v>12</v>
      </c>
      <c r="Y27" s="1">
        <f t="shared" si="6"/>
        <v>5</v>
      </c>
      <c r="Z27" s="7">
        <f t="shared" si="7"/>
        <v>1.6666666666666667</v>
      </c>
      <c r="AA27" s="1">
        <v>2</v>
      </c>
      <c r="AB27" s="1">
        <v>1</v>
      </c>
      <c r="AC27" s="1">
        <v>1</v>
      </c>
      <c r="AD27" s="1">
        <v>12</v>
      </c>
      <c r="AE27" s="4">
        <f t="shared" si="8"/>
        <v>4</v>
      </c>
      <c r="AF27" s="7">
        <f t="shared" si="9"/>
        <v>1.3333333333333333</v>
      </c>
    </row>
    <row r="28" spans="1:32" x14ac:dyDescent="0.35">
      <c r="A28" s="1">
        <v>26</v>
      </c>
      <c r="B28" s="1" t="s">
        <v>49</v>
      </c>
      <c r="C28" s="1">
        <v>3</v>
      </c>
      <c r="D28" s="1">
        <v>4</v>
      </c>
      <c r="E28" s="1">
        <v>3</v>
      </c>
      <c r="F28" s="1">
        <v>12</v>
      </c>
      <c r="G28" s="1">
        <f t="shared" si="0"/>
        <v>10</v>
      </c>
      <c r="H28" s="7">
        <f t="shared" si="1"/>
        <v>3.3333333333333335</v>
      </c>
      <c r="I28" s="1">
        <v>3</v>
      </c>
      <c r="J28" s="1">
        <v>2</v>
      </c>
      <c r="K28" s="1">
        <v>2</v>
      </c>
      <c r="L28" s="1">
        <v>12</v>
      </c>
      <c r="M28" s="1">
        <f t="shared" si="2"/>
        <v>7</v>
      </c>
      <c r="N28" s="7">
        <f t="shared" si="3"/>
        <v>2.3333333333333335</v>
      </c>
      <c r="O28" s="1">
        <v>2</v>
      </c>
      <c r="P28" s="1">
        <v>2</v>
      </c>
      <c r="Q28" s="1">
        <v>1</v>
      </c>
      <c r="R28" s="1">
        <v>12</v>
      </c>
      <c r="S28" s="1">
        <f t="shared" si="4"/>
        <v>5</v>
      </c>
      <c r="T28" s="7">
        <f t="shared" si="5"/>
        <v>1.6666666666666667</v>
      </c>
      <c r="U28" s="1">
        <v>2</v>
      </c>
      <c r="V28" s="1">
        <v>1</v>
      </c>
      <c r="W28" s="1">
        <v>2</v>
      </c>
      <c r="X28" s="1">
        <v>12</v>
      </c>
      <c r="Y28" s="1">
        <f t="shared" si="6"/>
        <v>5</v>
      </c>
      <c r="Z28" s="7">
        <f t="shared" si="7"/>
        <v>1.6666666666666667</v>
      </c>
      <c r="AA28" s="1">
        <v>2</v>
      </c>
      <c r="AB28" s="1">
        <v>1</v>
      </c>
      <c r="AC28" s="1">
        <v>1</v>
      </c>
      <c r="AD28" s="1">
        <v>12</v>
      </c>
      <c r="AE28" s="4">
        <f t="shared" si="8"/>
        <v>4</v>
      </c>
      <c r="AF28" s="7">
        <f t="shared" si="9"/>
        <v>1.3333333333333333</v>
      </c>
    </row>
    <row r="29" spans="1:32" x14ac:dyDescent="0.35">
      <c r="A29" s="1">
        <v>27</v>
      </c>
      <c r="B29" s="1" t="s">
        <v>50</v>
      </c>
      <c r="C29" s="1">
        <v>3</v>
      </c>
      <c r="D29" s="1">
        <v>3</v>
      </c>
      <c r="E29" s="1">
        <v>4</v>
      </c>
      <c r="F29" s="1">
        <v>12</v>
      </c>
      <c r="G29" s="1">
        <f t="shared" si="0"/>
        <v>10</v>
      </c>
      <c r="H29" s="7">
        <f t="shared" si="1"/>
        <v>3.3333333333333335</v>
      </c>
      <c r="I29" s="1">
        <v>2</v>
      </c>
      <c r="J29" s="1">
        <v>2</v>
      </c>
      <c r="K29" s="1">
        <v>1</v>
      </c>
      <c r="L29" s="1">
        <v>12</v>
      </c>
      <c r="M29" s="1">
        <f t="shared" si="2"/>
        <v>5</v>
      </c>
      <c r="N29" s="7">
        <f t="shared" si="3"/>
        <v>1.6666666666666667</v>
      </c>
      <c r="O29" s="1">
        <v>2</v>
      </c>
      <c r="P29" s="1">
        <v>2</v>
      </c>
      <c r="Q29" s="1">
        <v>1</v>
      </c>
      <c r="R29" s="1">
        <v>12</v>
      </c>
      <c r="S29" s="1">
        <f t="shared" si="4"/>
        <v>5</v>
      </c>
      <c r="T29" s="7">
        <f t="shared" si="5"/>
        <v>1.6666666666666667</v>
      </c>
      <c r="U29" s="1">
        <v>1</v>
      </c>
      <c r="V29" s="1">
        <v>1</v>
      </c>
      <c r="W29" s="1">
        <v>2</v>
      </c>
      <c r="X29" s="1">
        <v>12</v>
      </c>
      <c r="Y29" s="1">
        <f t="shared" si="6"/>
        <v>4</v>
      </c>
      <c r="Z29" s="7">
        <f t="shared" si="7"/>
        <v>1.3333333333333333</v>
      </c>
      <c r="AA29" s="1">
        <v>1</v>
      </c>
      <c r="AB29" s="1">
        <v>1</v>
      </c>
      <c r="AC29" s="1">
        <v>1</v>
      </c>
      <c r="AD29" s="1">
        <v>12</v>
      </c>
      <c r="AE29" s="4">
        <f t="shared" si="8"/>
        <v>3</v>
      </c>
      <c r="AF29" s="7">
        <f t="shared" si="9"/>
        <v>1</v>
      </c>
    </row>
    <row r="30" spans="1:32" x14ac:dyDescent="0.35">
      <c r="A30" s="1">
        <v>28</v>
      </c>
      <c r="B30" s="1" t="s">
        <v>51</v>
      </c>
      <c r="C30" s="1">
        <v>2</v>
      </c>
      <c r="D30" s="1">
        <v>2</v>
      </c>
      <c r="E30" s="1">
        <v>3</v>
      </c>
      <c r="F30" s="1">
        <v>12</v>
      </c>
      <c r="G30" s="1">
        <f t="shared" si="0"/>
        <v>7</v>
      </c>
      <c r="H30" s="7">
        <f t="shared" si="1"/>
        <v>2.3333333333333335</v>
      </c>
      <c r="I30" s="1">
        <v>2</v>
      </c>
      <c r="J30" s="1">
        <v>2</v>
      </c>
      <c r="K30" s="1">
        <v>2</v>
      </c>
      <c r="L30" s="1">
        <v>12</v>
      </c>
      <c r="M30" s="1">
        <f t="shared" si="2"/>
        <v>6</v>
      </c>
      <c r="N30" s="7">
        <f t="shared" si="3"/>
        <v>2</v>
      </c>
      <c r="O30" s="1">
        <v>2</v>
      </c>
      <c r="P30" s="1">
        <v>2</v>
      </c>
      <c r="Q30" s="1">
        <v>2</v>
      </c>
      <c r="R30" s="1">
        <v>12</v>
      </c>
      <c r="S30" s="1">
        <f t="shared" si="4"/>
        <v>6</v>
      </c>
      <c r="T30" s="7">
        <f t="shared" si="5"/>
        <v>2</v>
      </c>
      <c r="U30" s="1">
        <v>2</v>
      </c>
      <c r="V30" s="1">
        <v>1</v>
      </c>
      <c r="W30" s="1">
        <v>1</v>
      </c>
      <c r="X30" s="1">
        <v>12</v>
      </c>
      <c r="Y30" s="1">
        <f t="shared" si="6"/>
        <v>4</v>
      </c>
      <c r="Z30" s="7">
        <f t="shared" si="7"/>
        <v>1.3333333333333333</v>
      </c>
      <c r="AA30" s="1">
        <v>2</v>
      </c>
      <c r="AB30" s="1">
        <v>2</v>
      </c>
      <c r="AC30" s="1">
        <v>1</v>
      </c>
      <c r="AD30" s="1">
        <v>12</v>
      </c>
      <c r="AE30" s="4">
        <f t="shared" si="8"/>
        <v>5</v>
      </c>
      <c r="AF30" s="7">
        <f t="shared" si="9"/>
        <v>1.6666666666666667</v>
      </c>
    </row>
    <row r="31" spans="1:32" x14ac:dyDescent="0.35">
      <c r="A31" s="1">
        <v>29</v>
      </c>
      <c r="B31" s="1" t="s">
        <v>52</v>
      </c>
      <c r="C31" s="1">
        <v>3</v>
      </c>
      <c r="D31" s="1">
        <v>4</v>
      </c>
      <c r="E31" s="1">
        <v>4</v>
      </c>
      <c r="F31" s="1">
        <v>12</v>
      </c>
      <c r="G31" s="1">
        <f t="shared" si="0"/>
        <v>11</v>
      </c>
      <c r="H31" s="7">
        <f t="shared" si="1"/>
        <v>3.6666666666666665</v>
      </c>
      <c r="I31" s="1">
        <v>3</v>
      </c>
      <c r="J31" s="1">
        <v>2</v>
      </c>
      <c r="K31" s="1">
        <v>1</v>
      </c>
      <c r="L31" s="1">
        <v>12</v>
      </c>
      <c r="M31" s="1">
        <f t="shared" si="2"/>
        <v>6</v>
      </c>
      <c r="N31" s="7">
        <f t="shared" si="3"/>
        <v>2</v>
      </c>
      <c r="O31" s="1">
        <v>1</v>
      </c>
      <c r="P31" s="1">
        <v>1</v>
      </c>
      <c r="Q31" s="1">
        <v>1</v>
      </c>
      <c r="R31" s="1">
        <v>12</v>
      </c>
      <c r="S31" s="1">
        <f t="shared" si="4"/>
        <v>3</v>
      </c>
      <c r="T31" s="7">
        <f t="shared" si="5"/>
        <v>1</v>
      </c>
      <c r="U31" s="1">
        <v>1</v>
      </c>
      <c r="V31" s="1">
        <v>1</v>
      </c>
      <c r="W31" s="1">
        <v>1</v>
      </c>
      <c r="X31" s="1">
        <v>12</v>
      </c>
      <c r="Y31" s="1">
        <f t="shared" si="6"/>
        <v>3</v>
      </c>
      <c r="Z31" s="7">
        <f t="shared" si="7"/>
        <v>1</v>
      </c>
      <c r="AA31" s="1">
        <v>1</v>
      </c>
      <c r="AB31" s="1">
        <v>1</v>
      </c>
      <c r="AC31" s="1">
        <v>1</v>
      </c>
      <c r="AD31" s="1">
        <v>12</v>
      </c>
      <c r="AE31" s="4">
        <f t="shared" si="8"/>
        <v>3</v>
      </c>
      <c r="AF31" s="7">
        <f t="shared" si="9"/>
        <v>1</v>
      </c>
    </row>
    <row r="32" spans="1:32" x14ac:dyDescent="0.35">
      <c r="A32" s="1">
        <v>30</v>
      </c>
      <c r="B32" s="1" t="s">
        <v>58</v>
      </c>
      <c r="C32" s="1">
        <v>4</v>
      </c>
      <c r="D32" s="1">
        <v>4</v>
      </c>
      <c r="E32" s="1">
        <v>4</v>
      </c>
      <c r="F32" s="1">
        <v>12</v>
      </c>
      <c r="G32" s="1">
        <f t="shared" si="0"/>
        <v>12</v>
      </c>
      <c r="H32" s="7">
        <f t="shared" si="1"/>
        <v>4</v>
      </c>
      <c r="I32" s="1">
        <v>3</v>
      </c>
      <c r="J32" s="1">
        <v>2</v>
      </c>
      <c r="K32" s="1">
        <v>1</v>
      </c>
      <c r="L32" s="1">
        <v>12</v>
      </c>
      <c r="M32" s="1">
        <f t="shared" si="2"/>
        <v>6</v>
      </c>
      <c r="N32" s="7">
        <f t="shared" si="3"/>
        <v>2</v>
      </c>
      <c r="O32" s="1">
        <v>2</v>
      </c>
      <c r="P32" s="1">
        <v>1</v>
      </c>
      <c r="Q32" s="1">
        <v>1</v>
      </c>
      <c r="R32" s="1">
        <v>12</v>
      </c>
      <c r="S32" s="1">
        <f t="shared" si="4"/>
        <v>4</v>
      </c>
      <c r="T32" s="7">
        <f t="shared" si="5"/>
        <v>1.3333333333333333</v>
      </c>
      <c r="U32" s="1">
        <v>1</v>
      </c>
      <c r="V32" s="1">
        <v>1</v>
      </c>
      <c r="W32" s="1">
        <v>1</v>
      </c>
      <c r="X32" s="1">
        <v>12</v>
      </c>
      <c r="Y32" s="1">
        <f t="shared" si="6"/>
        <v>3</v>
      </c>
      <c r="Z32" s="7">
        <f t="shared" si="7"/>
        <v>1</v>
      </c>
      <c r="AA32" s="1">
        <v>1</v>
      </c>
      <c r="AB32" s="1">
        <v>1</v>
      </c>
      <c r="AC32" s="1">
        <v>1</v>
      </c>
      <c r="AD32" s="1">
        <v>12</v>
      </c>
      <c r="AE32" s="4">
        <f t="shared" si="8"/>
        <v>3</v>
      </c>
      <c r="AF32" s="7">
        <f t="shared" si="9"/>
        <v>1</v>
      </c>
    </row>
    <row r="33" spans="1:32" x14ac:dyDescent="0.35">
      <c r="A33" s="1">
        <v>31</v>
      </c>
      <c r="B33" s="1" t="s">
        <v>53</v>
      </c>
      <c r="C33" s="1">
        <v>3</v>
      </c>
      <c r="D33" s="1">
        <v>3</v>
      </c>
      <c r="E33" s="1">
        <v>4</v>
      </c>
      <c r="F33" s="1">
        <v>12</v>
      </c>
      <c r="G33" s="1">
        <f t="shared" si="0"/>
        <v>10</v>
      </c>
      <c r="H33" s="7">
        <f t="shared" si="1"/>
        <v>3.3333333333333335</v>
      </c>
      <c r="I33" s="1">
        <v>3</v>
      </c>
      <c r="J33" s="1">
        <v>2</v>
      </c>
      <c r="K33" s="1">
        <v>2</v>
      </c>
      <c r="L33" s="1">
        <v>12</v>
      </c>
      <c r="M33" s="1">
        <f t="shared" si="2"/>
        <v>7</v>
      </c>
      <c r="N33" s="7">
        <f t="shared" si="3"/>
        <v>2.3333333333333335</v>
      </c>
      <c r="O33" s="1">
        <v>2</v>
      </c>
      <c r="P33" s="1">
        <v>1</v>
      </c>
      <c r="Q33" s="1">
        <v>2</v>
      </c>
      <c r="R33" s="1">
        <v>12</v>
      </c>
      <c r="S33" s="1">
        <f t="shared" si="4"/>
        <v>5</v>
      </c>
      <c r="T33" s="7">
        <f t="shared" si="5"/>
        <v>1.6666666666666667</v>
      </c>
      <c r="U33" s="1">
        <v>1</v>
      </c>
      <c r="V33" s="1">
        <v>1</v>
      </c>
      <c r="W33" s="1">
        <v>1</v>
      </c>
      <c r="X33" s="1">
        <v>12</v>
      </c>
      <c r="Y33" s="1">
        <f t="shared" si="6"/>
        <v>3</v>
      </c>
      <c r="Z33" s="7">
        <f t="shared" si="7"/>
        <v>1</v>
      </c>
      <c r="AA33" s="1">
        <v>1</v>
      </c>
      <c r="AB33" s="1">
        <v>1</v>
      </c>
      <c r="AC33" s="1">
        <v>1</v>
      </c>
      <c r="AD33" s="1">
        <v>12</v>
      </c>
      <c r="AE33" s="4">
        <f t="shared" si="8"/>
        <v>3</v>
      </c>
      <c r="AF33" s="7">
        <f t="shared" si="9"/>
        <v>1</v>
      </c>
    </row>
    <row r="34" spans="1:32" x14ac:dyDescent="0.35">
      <c r="A34" s="1">
        <v>32</v>
      </c>
      <c r="B34" s="1" t="s">
        <v>54</v>
      </c>
      <c r="C34" s="1">
        <v>4</v>
      </c>
      <c r="D34" s="1">
        <v>3</v>
      </c>
      <c r="E34" s="1">
        <v>4</v>
      </c>
      <c r="F34" s="1">
        <v>12</v>
      </c>
      <c r="G34" s="1">
        <f t="shared" si="0"/>
        <v>11</v>
      </c>
      <c r="H34" s="7">
        <f t="shared" si="1"/>
        <v>3.6666666666666665</v>
      </c>
      <c r="I34" s="1">
        <v>3</v>
      </c>
      <c r="J34" s="1">
        <v>2</v>
      </c>
      <c r="K34" s="1">
        <v>2</v>
      </c>
      <c r="L34" s="1">
        <v>12</v>
      </c>
      <c r="M34" s="1">
        <f t="shared" si="2"/>
        <v>7</v>
      </c>
      <c r="N34" s="7">
        <f t="shared" si="3"/>
        <v>2.3333333333333335</v>
      </c>
      <c r="O34" s="1">
        <v>2</v>
      </c>
      <c r="P34" s="1">
        <v>2</v>
      </c>
      <c r="Q34" s="1">
        <v>1</v>
      </c>
      <c r="R34" s="1">
        <v>12</v>
      </c>
      <c r="S34" s="1">
        <f t="shared" si="4"/>
        <v>5</v>
      </c>
      <c r="T34" s="7">
        <f t="shared" si="5"/>
        <v>1.6666666666666667</v>
      </c>
      <c r="U34" s="1">
        <v>2</v>
      </c>
      <c r="V34" s="1">
        <v>1</v>
      </c>
      <c r="W34" s="1">
        <v>2</v>
      </c>
      <c r="X34" s="1">
        <v>12</v>
      </c>
      <c r="Y34" s="1">
        <f t="shared" si="6"/>
        <v>5</v>
      </c>
      <c r="Z34" s="7">
        <f t="shared" si="7"/>
        <v>1.6666666666666667</v>
      </c>
      <c r="AA34" s="1">
        <v>1</v>
      </c>
      <c r="AB34" s="1">
        <v>1</v>
      </c>
      <c r="AC34" s="1">
        <v>1</v>
      </c>
      <c r="AD34" s="1">
        <v>12</v>
      </c>
      <c r="AE34" s="4">
        <f t="shared" si="8"/>
        <v>3</v>
      </c>
      <c r="AF34" s="7">
        <f t="shared" si="9"/>
        <v>1</v>
      </c>
    </row>
    <row r="35" spans="1:32" x14ac:dyDescent="0.35">
      <c r="A35" s="1">
        <v>33</v>
      </c>
      <c r="B35" s="1" t="s">
        <v>55</v>
      </c>
      <c r="C35" s="1">
        <v>3</v>
      </c>
      <c r="D35" s="1">
        <v>3</v>
      </c>
      <c r="E35" s="1">
        <v>4</v>
      </c>
      <c r="F35" s="1">
        <v>12</v>
      </c>
      <c r="G35" s="1">
        <f t="shared" si="0"/>
        <v>10</v>
      </c>
      <c r="H35" s="7">
        <f t="shared" si="1"/>
        <v>3.3333333333333335</v>
      </c>
      <c r="I35" s="1">
        <v>3</v>
      </c>
      <c r="J35" s="1">
        <v>2</v>
      </c>
      <c r="K35" s="1">
        <v>2</v>
      </c>
      <c r="L35" s="1">
        <v>12</v>
      </c>
      <c r="M35" s="1">
        <f t="shared" si="2"/>
        <v>7</v>
      </c>
      <c r="N35" s="7">
        <f t="shared" si="3"/>
        <v>2.3333333333333335</v>
      </c>
      <c r="O35" s="1">
        <v>2</v>
      </c>
      <c r="P35" s="1">
        <v>2</v>
      </c>
      <c r="Q35" s="1">
        <v>2</v>
      </c>
      <c r="R35" s="1">
        <v>12</v>
      </c>
      <c r="S35" s="1">
        <f t="shared" si="4"/>
        <v>6</v>
      </c>
      <c r="T35" s="7">
        <f t="shared" si="5"/>
        <v>2</v>
      </c>
      <c r="U35" s="1">
        <v>1</v>
      </c>
      <c r="V35" s="1">
        <v>1</v>
      </c>
      <c r="W35" s="1">
        <v>1</v>
      </c>
      <c r="X35" s="1">
        <v>12</v>
      </c>
      <c r="Y35" s="1">
        <f t="shared" si="6"/>
        <v>3</v>
      </c>
      <c r="Z35" s="7">
        <f t="shared" si="7"/>
        <v>1</v>
      </c>
      <c r="AA35" s="1">
        <v>1</v>
      </c>
      <c r="AB35" s="1">
        <v>1</v>
      </c>
      <c r="AC35" s="1">
        <v>1</v>
      </c>
      <c r="AD35" s="1">
        <v>12</v>
      </c>
      <c r="AE35" s="4">
        <f t="shared" si="8"/>
        <v>3</v>
      </c>
      <c r="AF35" s="7">
        <f t="shared" si="9"/>
        <v>1</v>
      </c>
    </row>
    <row r="36" spans="1:32" x14ac:dyDescent="0.35">
      <c r="A36" s="1">
        <v>34</v>
      </c>
      <c r="B36" s="1" t="s">
        <v>56</v>
      </c>
      <c r="C36" s="1">
        <v>4</v>
      </c>
      <c r="D36" s="1">
        <v>4</v>
      </c>
      <c r="E36" s="1">
        <v>4</v>
      </c>
      <c r="F36" s="1">
        <v>12</v>
      </c>
      <c r="G36" s="1">
        <f t="shared" si="0"/>
        <v>12</v>
      </c>
      <c r="H36" s="7">
        <f t="shared" si="1"/>
        <v>4</v>
      </c>
      <c r="I36" s="1">
        <v>3</v>
      </c>
      <c r="J36" s="1">
        <v>2</v>
      </c>
      <c r="K36" s="1">
        <v>2</v>
      </c>
      <c r="L36" s="1">
        <v>12</v>
      </c>
      <c r="M36" s="1">
        <f t="shared" si="2"/>
        <v>7</v>
      </c>
      <c r="N36" s="7">
        <f t="shared" si="3"/>
        <v>2.3333333333333335</v>
      </c>
      <c r="O36" s="1">
        <v>2</v>
      </c>
      <c r="P36" s="1">
        <v>2</v>
      </c>
      <c r="Q36" s="1">
        <v>1</v>
      </c>
      <c r="R36" s="1">
        <v>12</v>
      </c>
      <c r="S36" s="1">
        <f t="shared" si="4"/>
        <v>5</v>
      </c>
      <c r="T36" s="7">
        <f t="shared" si="5"/>
        <v>1.6666666666666667</v>
      </c>
      <c r="U36" s="1">
        <v>1</v>
      </c>
      <c r="V36" s="1">
        <v>1</v>
      </c>
      <c r="W36" s="1">
        <v>1</v>
      </c>
      <c r="X36" s="1">
        <v>12</v>
      </c>
      <c r="Y36" s="1">
        <f t="shared" si="6"/>
        <v>3</v>
      </c>
      <c r="Z36" s="7">
        <f t="shared" si="7"/>
        <v>1</v>
      </c>
      <c r="AA36" s="1">
        <v>1</v>
      </c>
      <c r="AB36" s="1">
        <v>1</v>
      </c>
      <c r="AC36" s="1">
        <v>1</v>
      </c>
      <c r="AD36" s="1">
        <v>12</v>
      </c>
      <c r="AE36" s="4">
        <f t="shared" si="8"/>
        <v>3</v>
      </c>
      <c r="AF36" s="7">
        <f t="shared" si="9"/>
        <v>1</v>
      </c>
    </row>
    <row r="37" spans="1:32" x14ac:dyDescent="0.35">
      <c r="A37" s="1">
        <v>35</v>
      </c>
      <c r="B37" s="1" t="s">
        <v>57</v>
      </c>
      <c r="C37" s="1">
        <v>4</v>
      </c>
      <c r="D37" s="1">
        <v>4</v>
      </c>
      <c r="E37" s="1">
        <v>4</v>
      </c>
      <c r="F37" s="1">
        <v>12</v>
      </c>
      <c r="G37" s="1">
        <f t="shared" si="0"/>
        <v>12</v>
      </c>
      <c r="H37" s="7">
        <f t="shared" si="1"/>
        <v>4</v>
      </c>
      <c r="I37" s="1">
        <v>2</v>
      </c>
      <c r="J37" s="1">
        <v>1</v>
      </c>
      <c r="K37" s="1">
        <v>1</v>
      </c>
      <c r="L37" s="1">
        <v>12</v>
      </c>
      <c r="M37" s="1">
        <f t="shared" si="2"/>
        <v>4</v>
      </c>
      <c r="N37" s="7">
        <f t="shared" si="3"/>
        <v>1.3333333333333333</v>
      </c>
      <c r="O37" s="1">
        <v>2</v>
      </c>
      <c r="P37" s="1">
        <v>1</v>
      </c>
      <c r="Q37" s="1">
        <v>1</v>
      </c>
      <c r="R37" s="1">
        <v>12</v>
      </c>
      <c r="S37" s="1">
        <f t="shared" si="4"/>
        <v>4</v>
      </c>
      <c r="T37" s="7">
        <f t="shared" si="5"/>
        <v>1.3333333333333333</v>
      </c>
      <c r="U37" s="1">
        <v>1</v>
      </c>
      <c r="V37" s="1">
        <v>1</v>
      </c>
      <c r="W37" s="1">
        <v>1</v>
      </c>
      <c r="X37" s="1">
        <v>12</v>
      </c>
      <c r="Y37" s="1">
        <f t="shared" si="6"/>
        <v>3</v>
      </c>
      <c r="Z37" s="7">
        <f t="shared" si="7"/>
        <v>1</v>
      </c>
      <c r="AA37" s="1">
        <v>1</v>
      </c>
      <c r="AB37" s="1">
        <v>1</v>
      </c>
      <c r="AC37" s="1">
        <v>1</v>
      </c>
      <c r="AD37" s="1">
        <v>12</v>
      </c>
      <c r="AE37" s="4">
        <f t="shared" si="8"/>
        <v>3</v>
      </c>
      <c r="AF37" s="7">
        <f t="shared" si="9"/>
        <v>1</v>
      </c>
    </row>
    <row r="38" spans="1:32" x14ac:dyDescent="0.35">
      <c r="A38" s="1">
        <v>36</v>
      </c>
      <c r="B38" s="1" t="s">
        <v>59</v>
      </c>
      <c r="C38" s="1">
        <v>3</v>
      </c>
      <c r="D38" s="1">
        <v>4</v>
      </c>
      <c r="E38" s="1">
        <v>4</v>
      </c>
      <c r="F38" s="1">
        <v>12</v>
      </c>
      <c r="G38" s="1">
        <f t="shared" si="0"/>
        <v>11</v>
      </c>
      <c r="H38" s="7">
        <f t="shared" si="1"/>
        <v>3.6666666666666665</v>
      </c>
      <c r="I38" s="1">
        <v>2</v>
      </c>
      <c r="J38" s="1">
        <v>2</v>
      </c>
      <c r="K38" s="1">
        <v>1</v>
      </c>
      <c r="L38" s="1">
        <v>12</v>
      </c>
      <c r="M38" s="1">
        <f t="shared" si="2"/>
        <v>5</v>
      </c>
      <c r="N38" s="7">
        <f t="shared" si="3"/>
        <v>1.6666666666666667</v>
      </c>
      <c r="O38" s="1">
        <v>1</v>
      </c>
      <c r="P38" s="1">
        <v>1</v>
      </c>
      <c r="Q38" s="1">
        <v>1</v>
      </c>
      <c r="R38" s="1">
        <v>12</v>
      </c>
      <c r="S38" s="1">
        <f t="shared" si="4"/>
        <v>3</v>
      </c>
      <c r="T38" s="7">
        <f t="shared" si="5"/>
        <v>1</v>
      </c>
      <c r="U38" s="1">
        <v>1</v>
      </c>
      <c r="V38" s="1">
        <v>1</v>
      </c>
      <c r="W38" s="1">
        <v>1</v>
      </c>
      <c r="X38" s="1">
        <v>12</v>
      </c>
      <c r="Y38" s="1">
        <f t="shared" si="6"/>
        <v>3</v>
      </c>
      <c r="Z38" s="7">
        <f t="shared" si="7"/>
        <v>1</v>
      </c>
      <c r="AA38" s="1">
        <v>1</v>
      </c>
      <c r="AB38" s="1">
        <v>1</v>
      </c>
      <c r="AC38" s="1">
        <v>1</v>
      </c>
      <c r="AD38" s="1">
        <v>12</v>
      </c>
      <c r="AE38" s="4">
        <f t="shared" si="8"/>
        <v>3</v>
      </c>
      <c r="AF38" s="7">
        <f t="shared" si="9"/>
        <v>1</v>
      </c>
    </row>
    <row r="39" spans="1:32" x14ac:dyDescent="0.35">
      <c r="A39" s="1">
        <v>37</v>
      </c>
      <c r="B39" s="1" t="s">
        <v>60</v>
      </c>
      <c r="C39" s="1">
        <v>4</v>
      </c>
      <c r="D39" s="1">
        <v>4</v>
      </c>
      <c r="E39" s="1">
        <v>4</v>
      </c>
      <c r="F39" s="1">
        <v>12</v>
      </c>
      <c r="G39" s="1">
        <f t="shared" si="0"/>
        <v>12</v>
      </c>
      <c r="H39" s="7">
        <f t="shared" si="1"/>
        <v>4</v>
      </c>
      <c r="I39" s="1">
        <v>3</v>
      </c>
      <c r="J39" s="1">
        <v>2</v>
      </c>
      <c r="K39" s="1">
        <v>1</v>
      </c>
      <c r="L39" s="1">
        <v>12</v>
      </c>
      <c r="M39" s="1">
        <f t="shared" si="2"/>
        <v>6</v>
      </c>
      <c r="N39" s="7">
        <f t="shared" si="3"/>
        <v>2</v>
      </c>
      <c r="O39" s="1">
        <v>2</v>
      </c>
      <c r="P39" s="1">
        <v>1</v>
      </c>
      <c r="Q39" s="1">
        <v>2</v>
      </c>
      <c r="R39" s="1">
        <v>12</v>
      </c>
      <c r="S39" s="1">
        <f t="shared" si="4"/>
        <v>5</v>
      </c>
      <c r="T39" s="7">
        <f t="shared" si="5"/>
        <v>1.6666666666666667</v>
      </c>
      <c r="U39" s="1">
        <v>1</v>
      </c>
      <c r="V39" s="1">
        <v>1</v>
      </c>
      <c r="W39" s="1">
        <v>1</v>
      </c>
      <c r="X39" s="1">
        <v>12</v>
      </c>
      <c r="Y39" s="1">
        <f t="shared" si="6"/>
        <v>3</v>
      </c>
      <c r="Z39" s="7">
        <f t="shared" si="7"/>
        <v>1</v>
      </c>
      <c r="AA39" s="1">
        <v>1</v>
      </c>
      <c r="AB39" s="1">
        <v>1</v>
      </c>
      <c r="AC39" s="1">
        <v>1</v>
      </c>
      <c r="AD39" s="1">
        <v>12</v>
      </c>
      <c r="AE39" s="4">
        <f t="shared" si="8"/>
        <v>3</v>
      </c>
      <c r="AF39" s="7">
        <f t="shared" si="9"/>
        <v>1</v>
      </c>
    </row>
    <row r="40" spans="1:32" x14ac:dyDescent="0.35">
      <c r="A40" s="1">
        <v>38</v>
      </c>
      <c r="B40" s="1" t="s">
        <v>61</v>
      </c>
      <c r="C40" s="1">
        <v>4</v>
      </c>
      <c r="D40" s="1">
        <v>4</v>
      </c>
      <c r="E40" s="1">
        <v>4</v>
      </c>
      <c r="F40" s="1">
        <v>12</v>
      </c>
      <c r="G40" s="1">
        <f t="shared" si="0"/>
        <v>12</v>
      </c>
      <c r="H40" s="7">
        <f t="shared" si="1"/>
        <v>4</v>
      </c>
      <c r="I40" s="1">
        <v>2</v>
      </c>
      <c r="J40" s="1">
        <v>2</v>
      </c>
      <c r="K40" s="1">
        <v>1</v>
      </c>
      <c r="L40" s="1">
        <v>12</v>
      </c>
      <c r="M40" s="1">
        <f t="shared" si="2"/>
        <v>5</v>
      </c>
      <c r="N40" s="7">
        <f t="shared" si="3"/>
        <v>1.6666666666666667</v>
      </c>
      <c r="O40" s="1">
        <v>2</v>
      </c>
      <c r="P40" s="1">
        <v>1</v>
      </c>
      <c r="Q40" s="1">
        <v>2</v>
      </c>
      <c r="R40" s="1">
        <v>12</v>
      </c>
      <c r="S40" s="1">
        <f t="shared" si="4"/>
        <v>5</v>
      </c>
      <c r="T40" s="7">
        <f t="shared" si="5"/>
        <v>1.6666666666666667</v>
      </c>
      <c r="U40" s="1">
        <v>2</v>
      </c>
      <c r="V40" s="1">
        <v>2</v>
      </c>
      <c r="W40" s="1">
        <v>1</v>
      </c>
      <c r="X40" s="1">
        <v>12</v>
      </c>
      <c r="Y40" s="1">
        <f t="shared" si="6"/>
        <v>5</v>
      </c>
      <c r="Z40" s="7">
        <f t="shared" si="7"/>
        <v>1.6666666666666667</v>
      </c>
      <c r="AA40" s="1">
        <v>1</v>
      </c>
      <c r="AB40" s="1">
        <v>1</v>
      </c>
      <c r="AC40" s="1">
        <v>1</v>
      </c>
      <c r="AD40" s="1">
        <v>12</v>
      </c>
      <c r="AE40" s="4">
        <f t="shared" si="8"/>
        <v>3</v>
      </c>
      <c r="AF40" s="7">
        <f t="shared" si="9"/>
        <v>1</v>
      </c>
    </row>
    <row r="41" spans="1:32" x14ac:dyDescent="0.35">
      <c r="A41" s="1">
        <v>39</v>
      </c>
      <c r="B41" s="1" t="s">
        <v>62</v>
      </c>
      <c r="C41" s="1">
        <v>3</v>
      </c>
      <c r="D41" s="1">
        <v>4</v>
      </c>
      <c r="E41" s="1">
        <v>4</v>
      </c>
      <c r="F41" s="1">
        <v>12</v>
      </c>
      <c r="G41" s="1">
        <f t="shared" si="0"/>
        <v>11</v>
      </c>
      <c r="H41" s="7">
        <f t="shared" si="1"/>
        <v>3.6666666666666665</v>
      </c>
      <c r="I41" s="1">
        <v>2</v>
      </c>
      <c r="J41" s="1">
        <v>2</v>
      </c>
      <c r="K41" s="1">
        <v>1</v>
      </c>
      <c r="L41" s="1">
        <v>12</v>
      </c>
      <c r="M41" s="1">
        <f t="shared" si="2"/>
        <v>5</v>
      </c>
      <c r="N41" s="7">
        <f t="shared" si="3"/>
        <v>1.6666666666666667</v>
      </c>
      <c r="O41" s="1">
        <v>1</v>
      </c>
      <c r="P41" s="1">
        <v>1</v>
      </c>
      <c r="Q41" s="1">
        <v>1</v>
      </c>
      <c r="R41" s="1">
        <v>12</v>
      </c>
      <c r="S41" s="1">
        <f t="shared" si="4"/>
        <v>3</v>
      </c>
      <c r="T41" s="7">
        <f t="shared" si="5"/>
        <v>1</v>
      </c>
      <c r="U41" s="1">
        <v>2</v>
      </c>
      <c r="V41" s="1">
        <v>2</v>
      </c>
      <c r="W41" s="1">
        <v>1</v>
      </c>
      <c r="X41" s="1">
        <v>12</v>
      </c>
      <c r="Y41" s="1">
        <f t="shared" si="6"/>
        <v>5</v>
      </c>
      <c r="Z41" s="7">
        <f t="shared" si="7"/>
        <v>1.6666666666666667</v>
      </c>
      <c r="AA41" s="1">
        <v>1</v>
      </c>
      <c r="AB41" s="1">
        <v>1</v>
      </c>
      <c r="AC41" s="1">
        <v>1</v>
      </c>
      <c r="AD41" s="1">
        <v>12</v>
      </c>
      <c r="AE41" s="4">
        <f t="shared" si="8"/>
        <v>3</v>
      </c>
      <c r="AF41" s="7">
        <f t="shared" si="9"/>
        <v>1</v>
      </c>
    </row>
    <row r="42" spans="1:32" x14ac:dyDescent="0.35">
      <c r="A42" s="1">
        <v>40</v>
      </c>
      <c r="B42" s="1" t="s">
        <v>63</v>
      </c>
      <c r="C42" s="1">
        <v>3</v>
      </c>
      <c r="D42" s="1">
        <v>4</v>
      </c>
      <c r="E42" s="1">
        <v>4</v>
      </c>
      <c r="F42" s="1">
        <v>12</v>
      </c>
      <c r="G42" s="1">
        <f t="shared" si="0"/>
        <v>11</v>
      </c>
      <c r="H42" s="7">
        <f t="shared" si="1"/>
        <v>3.6666666666666665</v>
      </c>
      <c r="I42" s="1">
        <v>2</v>
      </c>
      <c r="J42" s="1">
        <v>2</v>
      </c>
      <c r="K42" s="1">
        <v>1</v>
      </c>
      <c r="L42" s="1">
        <v>12</v>
      </c>
      <c r="M42" s="1">
        <f t="shared" si="2"/>
        <v>5</v>
      </c>
      <c r="N42" s="7">
        <f t="shared" si="3"/>
        <v>1.6666666666666667</v>
      </c>
      <c r="O42" s="1">
        <v>2</v>
      </c>
      <c r="P42" s="1">
        <v>2</v>
      </c>
      <c r="Q42" s="1">
        <v>2</v>
      </c>
      <c r="R42" s="1">
        <v>12</v>
      </c>
      <c r="S42" s="1">
        <f t="shared" si="4"/>
        <v>6</v>
      </c>
      <c r="T42" s="7">
        <f t="shared" si="5"/>
        <v>2</v>
      </c>
      <c r="U42" s="1">
        <v>2</v>
      </c>
      <c r="V42" s="1">
        <v>2</v>
      </c>
      <c r="W42" s="1">
        <v>1</v>
      </c>
      <c r="X42" s="1">
        <v>12</v>
      </c>
      <c r="Y42" s="1">
        <f t="shared" si="6"/>
        <v>5</v>
      </c>
      <c r="Z42" s="7">
        <f t="shared" si="7"/>
        <v>1.6666666666666667</v>
      </c>
      <c r="AA42" s="1">
        <v>1</v>
      </c>
      <c r="AB42" s="1">
        <v>1</v>
      </c>
      <c r="AC42" s="1">
        <v>1</v>
      </c>
      <c r="AD42" s="1">
        <v>12</v>
      </c>
      <c r="AE42" s="4">
        <f t="shared" si="8"/>
        <v>3</v>
      </c>
      <c r="AF42" s="7">
        <f t="shared" si="9"/>
        <v>1</v>
      </c>
    </row>
    <row r="43" spans="1:32" x14ac:dyDescent="0.35">
      <c r="A43" s="1">
        <v>41</v>
      </c>
      <c r="B43" s="1" t="s">
        <v>65</v>
      </c>
      <c r="C43" s="1">
        <v>4</v>
      </c>
      <c r="D43" s="1">
        <v>3</v>
      </c>
      <c r="E43" s="1">
        <v>4</v>
      </c>
      <c r="F43" s="1">
        <v>12</v>
      </c>
      <c r="G43" s="1">
        <f t="shared" si="0"/>
        <v>11</v>
      </c>
      <c r="H43" s="7">
        <f t="shared" si="1"/>
        <v>3.6666666666666665</v>
      </c>
      <c r="I43" s="1">
        <v>3</v>
      </c>
      <c r="J43" s="1">
        <v>3</v>
      </c>
      <c r="K43" s="1">
        <v>2</v>
      </c>
      <c r="L43" s="1">
        <v>12</v>
      </c>
      <c r="M43" s="1">
        <f t="shared" si="2"/>
        <v>8</v>
      </c>
      <c r="N43" s="7">
        <f t="shared" si="3"/>
        <v>2.6666666666666665</v>
      </c>
      <c r="O43" s="1">
        <v>3</v>
      </c>
      <c r="P43" s="1">
        <v>2</v>
      </c>
      <c r="Q43" s="1">
        <v>3</v>
      </c>
      <c r="R43" s="1">
        <v>12</v>
      </c>
      <c r="S43" s="1">
        <f t="shared" si="4"/>
        <v>8</v>
      </c>
      <c r="T43" s="7">
        <f t="shared" si="5"/>
        <v>2.6666666666666665</v>
      </c>
      <c r="U43" s="1">
        <v>3</v>
      </c>
      <c r="V43" s="1">
        <v>4</v>
      </c>
      <c r="W43" s="1">
        <v>3</v>
      </c>
      <c r="X43" s="1">
        <v>12</v>
      </c>
      <c r="Y43" s="1">
        <f t="shared" si="6"/>
        <v>10</v>
      </c>
      <c r="Z43" s="7">
        <f t="shared" si="7"/>
        <v>3.3333333333333335</v>
      </c>
      <c r="AA43" s="1">
        <v>2</v>
      </c>
      <c r="AB43" s="1">
        <v>2</v>
      </c>
      <c r="AC43" s="1">
        <v>4</v>
      </c>
      <c r="AD43" s="1">
        <v>12</v>
      </c>
      <c r="AE43" s="4">
        <f t="shared" si="8"/>
        <v>8</v>
      </c>
      <c r="AF43" s="7">
        <f t="shared" si="9"/>
        <v>2.6666666666666665</v>
      </c>
    </row>
    <row r="44" spans="1:32" x14ac:dyDescent="0.35">
      <c r="A44" s="1">
        <v>42</v>
      </c>
      <c r="B44" s="1" t="s">
        <v>66</v>
      </c>
      <c r="C44" s="1">
        <v>4</v>
      </c>
      <c r="D44" s="1">
        <v>4</v>
      </c>
      <c r="E44" s="1">
        <v>4</v>
      </c>
      <c r="F44" s="1">
        <v>12</v>
      </c>
      <c r="G44" s="1">
        <f t="shared" si="0"/>
        <v>12</v>
      </c>
      <c r="H44" s="7">
        <f t="shared" si="1"/>
        <v>4</v>
      </c>
      <c r="I44" s="1">
        <v>2</v>
      </c>
      <c r="J44" s="1">
        <v>1</v>
      </c>
      <c r="K44" s="1">
        <v>2</v>
      </c>
      <c r="L44" s="1">
        <v>12</v>
      </c>
      <c r="M44" s="1">
        <f t="shared" si="2"/>
        <v>5</v>
      </c>
      <c r="N44" s="7">
        <f t="shared" si="3"/>
        <v>1.6666666666666667</v>
      </c>
      <c r="O44" s="1">
        <v>3</v>
      </c>
      <c r="P44" s="1">
        <v>2</v>
      </c>
      <c r="Q44" s="1">
        <v>2</v>
      </c>
      <c r="R44" s="1">
        <v>12</v>
      </c>
      <c r="S44" s="1">
        <f t="shared" si="4"/>
        <v>7</v>
      </c>
      <c r="T44" s="7">
        <f t="shared" si="5"/>
        <v>2.3333333333333335</v>
      </c>
      <c r="U44" s="1">
        <v>3</v>
      </c>
      <c r="V44" s="1">
        <v>4</v>
      </c>
      <c r="W44" s="1">
        <v>3</v>
      </c>
      <c r="X44" s="1">
        <v>12</v>
      </c>
      <c r="Y44" s="1">
        <f t="shared" si="6"/>
        <v>10</v>
      </c>
      <c r="Z44" s="7">
        <f t="shared" si="7"/>
        <v>3.3333333333333335</v>
      </c>
      <c r="AA44" s="1">
        <v>2</v>
      </c>
      <c r="AB44" s="1">
        <v>1</v>
      </c>
      <c r="AC44" s="1">
        <v>4</v>
      </c>
      <c r="AD44" s="1">
        <v>12</v>
      </c>
      <c r="AE44" s="4">
        <f t="shared" si="8"/>
        <v>7</v>
      </c>
      <c r="AF44" s="7">
        <f t="shared" si="9"/>
        <v>2.3333333333333335</v>
      </c>
    </row>
    <row r="45" spans="1:32" x14ac:dyDescent="0.35">
      <c r="A45" s="1">
        <v>43</v>
      </c>
      <c r="B45" s="1" t="s">
        <v>67</v>
      </c>
      <c r="C45" s="1">
        <v>4</v>
      </c>
      <c r="D45" s="1">
        <v>4</v>
      </c>
      <c r="E45" s="1">
        <v>4</v>
      </c>
      <c r="F45" s="1">
        <v>12</v>
      </c>
      <c r="G45" s="1">
        <f t="shared" si="0"/>
        <v>12</v>
      </c>
      <c r="H45" s="7">
        <f t="shared" si="1"/>
        <v>4</v>
      </c>
      <c r="I45" s="1">
        <v>3</v>
      </c>
      <c r="J45" s="1">
        <v>3</v>
      </c>
      <c r="K45" s="1">
        <v>2</v>
      </c>
      <c r="L45" s="1">
        <v>12</v>
      </c>
      <c r="M45" s="1">
        <f t="shared" si="2"/>
        <v>8</v>
      </c>
      <c r="N45" s="7">
        <f t="shared" si="3"/>
        <v>2.6666666666666665</v>
      </c>
      <c r="O45" s="1">
        <v>3</v>
      </c>
      <c r="P45" s="1">
        <v>4</v>
      </c>
      <c r="Q45" s="1">
        <v>3</v>
      </c>
      <c r="R45" s="1">
        <v>12</v>
      </c>
      <c r="S45" s="1">
        <f t="shared" si="4"/>
        <v>10</v>
      </c>
      <c r="T45" s="7">
        <f t="shared" si="5"/>
        <v>3.3333333333333335</v>
      </c>
      <c r="U45" s="1">
        <v>4</v>
      </c>
      <c r="V45" s="1">
        <v>4</v>
      </c>
      <c r="W45" s="1">
        <v>3</v>
      </c>
      <c r="X45" s="1">
        <v>12</v>
      </c>
      <c r="Y45" s="1">
        <f t="shared" si="6"/>
        <v>11</v>
      </c>
      <c r="Z45" s="7">
        <f t="shared" si="7"/>
        <v>3.6666666666666665</v>
      </c>
      <c r="AA45" s="1">
        <v>2</v>
      </c>
      <c r="AB45" s="1">
        <v>2</v>
      </c>
      <c r="AC45" s="1">
        <v>4</v>
      </c>
      <c r="AD45" s="1">
        <v>12</v>
      </c>
      <c r="AE45" s="4">
        <f t="shared" si="8"/>
        <v>8</v>
      </c>
      <c r="AF45" s="7">
        <f t="shared" si="9"/>
        <v>2.6666666666666665</v>
      </c>
    </row>
    <row r="46" spans="1:32" x14ac:dyDescent="0.35">
      <c r="A46" s="1">
        <v>44</v>
      </c>
      <c r="B46" s="1" t="s">
        <v>68</v>
      </c>
      <c r="C46" s="1">
        <v>4</v>
      </c>
      <c r="D46" s="1">
        <v>4</v>
      </c>
      <c r="E46" s="1">
        <v>4</v>
      </c>
      <c r="F46" s="1">
        <v>12</v>
      </c>
      <c r="G46" s="1">
        <f t="shared" si="0"/>
        <v>12</v>
      </c>
      <c r="H46" s="7">
        <f t="shared" si="1"/>
        <v>4</v>
      </c>
      <c r="I46" s="1">
        <v>3</v>
      </c>
      <c r="J46" s="1">
        <v>3</v>
      </c>
      <c r="K46" s="1">
        <v>3</v>
      </c>
      <c r="L46" s="1">
        <v>12</v>
      </c>
      <c r="M46" s="1">
        <f t="shared" si="2"/>
        <v>9</v>
      </c>
      <c r="N46" s="7">
        <f t="shared" si="3"/>
        <v>3</v>
      </c>
      <c r="O46" s="1">
        <v>4</v>
      </c>
      <c r="P46" s="1">
        <v>2</v>
      </c>
      <c r="Q46" s="1">
        <v>3</v>
      </c>
      <c r="R46" s="1">
        <v>12</v>
      </c>
      <c r="S46" s="1">
        <f t="shared" si="4"/>
        <v>9</v>
      </c>
      <c r="T46" s="7">
        <f t="shared" si="5"/>
        <v>3</v>
      </c>
      <c r="U46" s="1">
        <v>4</v>
      </c>
      <c r="V46" s="1">
        <v>4</v>
      </c>
      <c r="W46" s="1">
        <v>4</v>
      </c>
      <c r="X46" s="1">
        <v>12</v>
      </c>
      <c r="Y46" s="1">
        <f t="shared" si="6"/>
        <v>12</v>
      </c>
      <c r="Z46" s="7">
        <f t="shared" si="7"/>
        <v>4</v>
      </c>
      <c r="AA46" s="1">
        <v>2</v>
      </c>
      <c r="AB46" s="1">
        <v>2</v>
      </c>
      <c r="AC46" s="1">
        <v>4</v>
      </c>
      <c r="AD46" s="1">
        <v>12</v>
      </c>
      <c r="AE46" s="4">
        <f t="shared" si="8"/>
        <v>8</v>
      </c>
      <c r="AF46" s="7">
        <f t="shared" si="9"/>
        <v>2.6666666666666665</v>
      </c>
    </row>
    <row r="47" spans="1:32" x14ac:dyDescent="0.35">
      <c r="A47" s="1">
        <v>45</v>
      </c>
      <c r="B47" s="1" t="s">
        <v>69</v>
      </c>
      <c r="C47" s="1">
        <v>4</v>
      </c>
      <c r="D47" s="1">
        <v>4</v>
      </c>
      <c r="E47" s="1">
        <v>4</v>
      </c>
      <c r="F47" s="1">
        <v>12</v>
      </c>
      <c r="G47" s="1">
        <f t="shared" si="0"/>
        <v>12</v>
      </c>
      <c r="H47" s="7">
        <f t="shared" si="1"/>
        <v>4</v>
      </c>
      <c r="I47" s="1">
        <v>3</v>
      </c>
      <c r="J47" s="1">
        <v>3</v>
      </c>
      <c r="K47" s="1">
        <v>2</v>
      </c>
      <c r="L47" s="1">
        <v>12</v>
      </c>
      <c r="M47" s="1">
        <f t="shared" si="2"/>
        <v>8</v>
      </c>
      <c r="N47" s="7">
        <f t="shared" si="3"/>
        <v>2.6666666666666665</v>
      </c>
      <c r="O47" s="1">
        <v>3</v>
      </c>
      <c r="P47" s="1">
        <v>2</v>
      </c>
      <c r="Q47" s="1">
        <v>3</v>
      </c>
      <c r="R47" s="1">
        <v>12</v>
      </c>
      <c r="S47" s="1">
        <f t="shared" si="4"/>
        <v>8</v>
      </c>
      <c r="T47" s="7">
        <f t="shared" si="5"/>
        <v>2.6666666666666665</v>
      </c>
      <c r="U47" s="1">
        <v>3</v>
      </c>
      <c r="V47" s="1">
        <v>4</v>
      </c>
      <c r="W47" s="1">
        <v>3</v>
      </c>
      <c r="X47" s="1">
        <v>12</v>
      </c>
      <c r="Y47" s="1">
        <f t="shared" si="6"/>
        <v>10</v>
      </c>
      <c r="Z47" s="7">
        <f t="shared" si="7"/>
        <v>3.3333333333333335</v>
      </c>
      <c r="AA47" s="1">
        <v>2</v>
      </c>
      <c r="AB47" s="1">
        <v>2</v>
      </c>
      <c r="AC47" s="1">
        <v>2</v>
      </c>
      <c r="AD47" s="1">
        <v>12</v>
      </c>
      <c r="AE47" s="4">
        <f t="shared" si="8"/>
        <v>6</v>
      </c>
      <c r="AF47" s="7">
        <f t="shared" si="9"/>
        <v>2</v>
      </c>
    </row>
    <row r="48" spans="1:32" x14ac:dyDescent="0.35">
      <c r="A48" s="1">
        <v>46</v>
      </c>
      <c r="B48" s="1" t="s">
        <v>70</v>
      </c>
      <c r="C48" s="1">
        <v>4</v>
      </c>
      <c r="D48" s="1">
        <v>4</v>
      </c>
      <c r="E48" s="1">
        <v>4</v>
      </c>
      <c r="F48" s="1">
        <v>12</v>
      </c>
      <c r="G48" s="1">
        <f t="shared" si="0"/>
        <v>12</v>
      </c>
      <c r="H48" s="7">
        <f t="shared" si="1"/>
        <v>4</v>
      </c>
      <c r="I48" s="1">
        <v>2</v>
      </c>
      <c r="J48" s="1">
        <v>2</v>
      </c>
      <c r="K48" s="1">
        <v>3</v>
      </c>
      <c r="L48" s="1">
        <v>12</v>
      </c>
      <c r="M48" s="1">
        <f t="shared" si="2"/>
        <v>7</v>
      </c>
      <c r="N48" s="7">
        <f t="shared" si="3"/>
        <v>2.3333333333333335</v>
      </c>
      <c r="O48" s="1">
        <v>3</v>
      </c>
      <c r="P48" s="1">
        <v>2</v>
      </c>
      <c r="Q48" s="1">
        <v>3</v>
      </c>
      <c r="R48" s="1">
        <v>12</v>
      </c>
      <c r="S48" s="1">
        <f t="shared" si="4"/>
        <v>8</v>
      </c>
      <c r="T48" s="7">
        <f t="shared" si="5"/>
        <v>2.6666666666666665</v>
      </c>
      <c r="U48" s="1">
        <v>3</v>
      </c>
      <c r="V48" s="1">
        <v>4</v>
      </c>
      <c r="W48" s="1">
        <v>3</v>
      </c>
      <c r="X48" s="1">
        <v>12</v>
      </c>
      <c r="Y48" s="1">
        <f t="shared" si="6"/>
        <v>10</v>
      </c>
      <c r="Z48" s="7">
        <f t="shared" si="7"/>
        <v>3.3333333333333335</v>
      </c>
      <c r="AA48" s="1">
        <v>2</v>
      </c>
      <c r="AB48" s="1">
        <v>2</v>
      </c>
      <c r="AC48" s="1">
        <v>4</v>
      </c>
      <c r="AD48" s="1">
        <v>12</v>
      </c>
      <c r="AE48" s="4">
        <f t="shared" si="8"/>
        <v>8</v>
      </c>
      <c r="AF48" s="7">
        <f t="shared" si="9"/>
        <v>2.6666666666666665</v>
      </c>
    </row>
    <row r="49" spans="1:33" x14ac:dyDescent="0.35">
      <c r="A49" s="1">
        <v>47</v>
      </c>
      <c r="B49" s="1" t="s">
        <v>71</v>
      </c>
      <c r="C49" s="1">
        <v>4</v>
      </c>
      <c r="D49" s="1">
        <v>4</v>
      </c>
      <c r="E49" s="1">
        <v>4</v>
      </c>
      <c r="F49" s="1">
        <v>12</v>
      </c>
      <c r="G49" s="1">
        <f t="shared" si="0"/>
        <v>12</v>
      </c>
      <c r="H49" s="7">
        <f t="shared" si="1"/>
        <v>4</v>
      </c>
      <c r="I49" s="1">
        <v>3</v>
      </c>
      <c r="J49" s="1">
        <v>3</v>
      </c>
      <c r="K49" s="1">
        <v>3</v>
      </c>
      <c r="L49" s="1">
        <v>12</v>
      </c>
      <c r="M49" s="1">
        <f t="shared" si="2"/>
        <v>9</v>
      </c>
      <c r="N49" s="7">
        <f t="shared" si="3"/>
        <v>3</v>
      </c>
      <c r="O49" s="1">
        <v>3</v>
      </c>
      <c r="P49" s="1">
        <v>2</v>
      </c>
      <c r="Q49" s="1">
        <v>2</v>
      </c>
      <c r="R49" s="1">
        <v>12</v>
      </c>
      <c r="S49" s="1">
        <f t="shared" si="4"/>
        <v>7</v>
      </c>
      <c r="T49" s="7">
        <f t="shared" si="5"/>
        <v>2.3333333333333335</v>
      </c>
      <c r="U49" s="1">
        <v>2</v>
      </c>
      <c r="V49" s="1">
        <v>3</v>
      </c>
      <c r="W49" s="1">
        <v>3</v>
      </c>
      <c r="X49" s="1">
        <v>12</v>
      </c>
      <c r="Y49" s="1">
        <f t="shared" si="6"/>
        <v>8</v>
      </c>
      <c r="Z49" s="7">
        <f t="shared" si="7"/>
        <v>2.6666666666666665</v>
      </c>
      <c r="AA49" s="1">
        <v>2</v>
      </c>
      <c r="AB49" s="1">
        <v>2</v>
      </c>
      <c r="AC49" s="1">
        <v>2</v>
      </c>
      <c r="AD49" s="1">
        <v>12</v>
      </c>
      <c r="AE49" s="4">
        <f t="shared" si="8"/>
        <v>6</v>
      </c>
      <c r="AF49" s="7">
        <f t="shared" si="9"/>
        <v>2</v>
      </c>
    </row>
    <row r="50" spans="1:33" x14ac:dyDescent="0.35">
      <c r="A50" s="1">
        <v>48</v>
      </c>
      <c r="B50" s="1" t="s">
        <v>59</v>
      </c>
      <c r="C50" s="1">
        <v>4</v>
      </c>
      <c r="D50" s="1">
        <v>4</v>
      </c>
      <c r="E50" s="1">
        <v>4</v>
      </c>
      <c r="F50" s="1">
        <v>12</v>
      </c>
      <c r="G50" s="1">
        <f t="shared" si="0"/>
        <v>12</v>
      </c>
      <c r="H50" s="7">
        <f t="shared" si="1"/>
        <v>4</v>
      </c>
      <c r="I50" s="1">
        <v>3</v>
      </c>
      <c r="J50" s="1">
        <v>2</v>
      </c>
      <c r="K50" s="1">
        <v>3</v>
      </c>
      <c r="L50" s="1">
        <v>12</v>
      </c>
      <c r="M50" s="1">
        <f t="shared" si="2"/>
        <v>8</v>
      </c>
      <c r="N50" s="7">
        <f t="shared" si="3"/>
        <v>2.6666666666666665</v>
      </c>
      <c r="O50" s="1">
        <v>3</v>
      </c>
      <c r="P50" s="1">
        <v>2</v>
      </c>
      <c r="Q50" s="1">
        <v>2</v>
      </c>
      <c r="R50" s="1">
        <v>12</v>
      </c>
      <c r="S50" s="1">
        <f t="shared" si="4"/>
        <v>7</v>
      </c>
      <c r="T50" s="7">
        <f t="shared" si="5"/>
        <v>2.3333333333333335</v>
      </c>
      <c r="U50" s="1">
        <v>2</v>
      </c>
      <c r="V50" s="1">
        <v>2</v>
      </c>
      <c r="W50" s="1">
        <v>3</v>
      </c>
      <c r="X50" s="1">
        <v>12</v>
      </c>
      <c r="Y50" s="1">
        <f t="shared" si="6"/>
        <v>7</v>
      </c>
      <c r="Z50" s="7">
        <f t="shared" si="7"/>
        <v>2.3333333333333335</v>
      </c>
      <c r="AA50" s="1">
        <v>2</v>
      </c>
      <c r="AB50" s="1">
        <v>2</v>
      </c>
      <c r="AC50" s="1">
        <v>2</v>
      </c>
      <c r="AD50" s="1">
        <v>12</v>
      </c>
      <c r="AE50" s="4">
        <f t="shared" si="8"/>
        <v>6</v>
      </c>
      <c r="AF50" s="7">
        <f t="shared" si="9"/>
        <v>2</v>
      </c>
    </row>
    <row r="51" spans="1:33" x14ac:dyDescent="0.35">
      <c r="A51" s="8">
        <v>49</v>
      </c>
      <c r="B51" s="8" t="s">
        <v>72</v>
      </c>
      <c r="C51" s="8">
        <v>4</v>
      </c>
      <c r="D51" s="8">
        <v>3</v>
      </c>
      <c r="E51" s="8">
        <v>4</v>
      </c>
      <c r="F51" s="8">
        <v>12</v>
      </c>
      <c r="G51" s="1">
        <f t="shared" si="0"/>
        <v>11</v>
      </c>
      <c r="H51" s="7">
        <f t="shared" si="1"/>
        <v>3.6666666666666665</v>
      </c>
      <c r="I51" s="8">
        <v>3</v>
      </c>
      <c r="J51" s="8">
        <v>2</v>
      </c>
      <c r="K51" s="8">
        <v>2</v>
      </c>
      <c r="L51" s="8">
        <v>12</v>
      </c>
      <c r="M51" s="1">
        <f t="shared" si="2"/>
        <v>7</v>
      </c>
      <c r="N51" s="7">
        <f t="shared" si="3"/>
        <v>2.3333333333333335</v>
      </c>
      <c r="O51" s="8">
        <v>3</v>
      </c>
      <c r="P51" s="8">
        <v>2</v>
      </c>
      <c r="Q51" s="8">
        <v>2</v>
      </c>
      <c r="R51" s="8">
        <v>12</v>
      </c>
      <c r="S51" s="1">
        <f t="shared" si="4"/>
        <v>7</v>
      </c>
      <c r="T51" s="7">
        <f t="shared" si="5"/>
        <v>2.3333333333333335</v>
      </c>
      <c r="U51" s="8">
        <v>3</v>
      </c>
      <c r="V51" s="8">
        <v>2</v>
      </c>
      <c r="W51" s="8">
        <v>3</v>
      </c>
      <c r="X51" s="8">
        <v>12</v>
      </c>
      <c r="Y51" s="1">
        <f t="shared" si="6"/>
        <v>8</v>
      </c>
      <c r="Z51" s="7">
        <f t="shared" si="7"/>
        <v>2.6666666666666665</v>
      </c>
      <c r="AA51" s="8">
        <v>1</v>
      </c>
      <c r="AB51" s="8">
        <v>1</v>
      </c>
      <c r="AC51" s="8">
        <v>2</v>
      </c>
      <c r="AD51" s="8">
        <v>12</v>
      </c>
      <c r="AE51" s="4">
        <f t="shared" si="8"/>
        <v>4</v>
      </c>
      <c r="AF51" s="7">
        <f t="shared" si="9"/>
        <v>1.3333333333333333</v>
      </c>
    </row>
    <row r="52" spans="1:33" s="1" customFormat="1" x14ac:dyDescent="0.35">
      <c r="A52" s="1">
        <v>50</v>
      </c>
      <c r="B52" s="1" t="s">
        <v>73</v>
      </c>
      <c r="C52" s="1">
        <v>3</v>
      </c>
      <c r="D52" s="1">
        <v>4</v>
      </c>
      <c r="E52" s="1">
        <v>3</v>
      </c>
      <c r="F52" s="1">
        <v>12</v>
      </c>
      <c r="G52" s="1">
        <f t="shared" si="0"/>
        <v>10</v>
      </c>
      <c r="H52" s="7">
        <f t="shared" si="1"/>
        <v>3.3333333333333335</v>
      </c>
      <c r="I52" s="1">
        <v>4</v>
      </c>
      <c r="J52" s="1">
        <v>3</v>
      </c>
      <c r="K52" s="1">
        <v>3</v>
      </c>
      <c r="L52" s="1">
        <v>12</v>
      </c>
      <c r="M52" s="1">
        <f t="shared" si="2"/>
        <v>10</v>
      </c>
      <c r="N52" s="7">
        <f t="shared" si="3"/>
        <v>3.3333333333333335</v>
      </c>
      <c r="O52" s="1">
        <v>3</v>
      </c>
      <c r="P52" s="1">
        <v>2</v>
      </c>
      <c r="Q52" s="1">
        <v>3</v>
      </c>
      <c r="R52" s="1">
        <v>12</v>
      </c>
      <c r="S52" s="1">
        <f t="shared" si="4"/>
        <v>8</v>
      </c>
      <c r="T52" s="7">
        <f t="shared" si="5"/>
        <v>2.6666666666666665</v>
      </c>
      <c r="U52" s="1">
        <v>2</v>
      </c>
      <c r="V52" s="1">
        <v>2</v>
      </c>
      <c r="W52" s="1">
        <v>3</v>
      </c>
      <c r="X52" s="1">
        <v>12</v>
      </c>
      <c r="Y52" s="1">
        <f t="shared" si="6"/>
        <v>7</v>
      </c>
      <c r="Z52" s="7">
        <f t="shared" si="7"/>
        <v>2.3333333333333335</v>
      </c>
      <c r="AA52" s="1">
        <v>3</v>
      </c>
      <c r="AB52" s="1">
        <v>2</v>
      </c>
      <c r="AC52" s="1">
        <v>2</v>
      </c>
      <c r="AD52" s="1">
        <v>12</v>
      </c>
      <c r="AE52" s="4">
        <f t="shared" si="8"/>
        <v>7</v>
      </c>
      <c r="AF52" s="7">
        <f t="shared" si="9"/>
        <v>2.3333333333333335</v>
      </c>
      <c r="AG52" s="14"/>
    </row>
    <row r="53" spans="1:33" x14ac:dyDescent="0.35">
      <c r="F53">
        <f>SUM(F3:F52)</f>
        <v>600</v>
      </c>
      <c r="H53">
        <f>SUM(H3:H52)</f>
        <v>179.33333333333329</v>
      </c>
      <c r="N53">
        <f>SUM(N3:N52)</f>
        <v>113.66666666666667</v>
      </c>
      <c r="T53">
        <f>SUM(T3:T52)</f>
        <v>107.66666666666666</v>
      </c>
      <c r="Z53">
        <f>SUM(Z3:Z52)</f>
        <v>104</v>
      </c>
      <c r="AF53" s="9">
        <f>SUM(AF3:AF52)</f>
        <v>84.333333333333343</v>
      </c>
    </row>
    <row r="54" spans="1:33" x14ac:dyDescent="0.35">
      <c r="F54" s="12" t="s">
        <v>78</v>
      </c>
      <c r="H54">
        <f>SUM(H53/50)</f>
        <v>3.5866666666666656</v>
      </c>
      <c r="L54" s="12" t="s">
        <v>79</v>
      </c>
      <c r="N54">
        <f>SUM(N53/50)</f>
        <v>2.2733333333333334</v>
      </c>
      <c r="R54" s="12" t="s">
        <v>80</v>
      </c>
      <c r="T54">
        <f>SUM(T53/50)</f>
        <v>2.1533333333333333</v>
      </c>
      <c r="X54" s="12" t="s">
        <v>81</v>
      </c>
      <c r="Z54">
        <f>SUM(Z53/50)</f>
        <v>2.08</v>
      </c>
      <c r="AD54" s="12" t="s">
        <v>82</v>
      </c>
      <c r="AF54" s="1">
        <f>SUM(AF53/50)</f>
        <v>1.6866666666666668</v>
      </c>
    </row>
  </sheetData>
  <mergeCells count="5">
    <mergeCell ref="C1:H1"/>
    <mergeCell ref="O1:T1"/>
    <mergeCell ref="I1:N1"/>
    <mergeCell ref="U1:Z1"/>
    <mergeCell ref="AA1:AF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D2F7-53C2-4AF4-830E-92E838D13716}">
  <dimension ref="A1:M51"/>
  <sheetViews>
    <sheetView tabSelected="1" workbookViewId="0">
      <selection activeCell="I10" sqref="I10"/>
    </sheetView>
  </sheetViews>
  <sheetFormatPr defaultRowHeight="14.5" x14ac:dyDescent="0.35"/>
  <cols>
    <col min="1" max="1" width="14.90625" bestFit="1" customWidth="1"/>
    <col min="2" max="2" width="22.08984375" bestFit="1" customWidth="1"/>
    <col min="3" max="3" width="10" bestFit="1" customWidth="1"/>
    <col min="6" max="6" width="19.36328125" bestFit="1" customWidth="1"/>
    <col min="8" max="8" width="15.36328125" bestFit="1" customWidth="1"/>
    <col min="9" max="9" width="18.26953125" bestFit="1" customWidth="1"/>
    <col min="10" max="10" width="14.54296875" bestFit="1" customWidth="1"/>
    <col min="11" max="11" width="10.7265625" bestFit="1" customWidth="1"/>
    <col min="12" max="12" width="11.36328125" bestFit="1" customWidth="1"/>
    <col min="13" max="13" width="11" bestFit="1" customWidth="1"/>
  </cols>
  <sheetData>
    <row r="1" spans="1:13" x14ac:dyDescent="0.35">
      <c r="A1" t="s">
        <v>4</v>
      </c>
      <c r="B1" t="s">
        <v>5</v>
      </c>
      <c r="C1" t="s">
        <v>76</v>
      </c>
      <c r="D1" s="18" t="s">
        <v>7</v>
      </c>
      <c r="E1" t="s">
        <v>8</v>
      </c>
      <c r="F1" t="s">
        <v>9</v>
      </c>
      <c r="G1" t="s">
        <v>10</v>
      </c>
      <c r="H1" s="19" t="s">
        <v>90</v>
      </c>
      <c r="I1" t="s">
        <v>15</v>
      </c>
      <c r="J1" t="s">
        <v>91</v>
      </c>
      <c r="K1" t="s">
        <v>92</v>
      </c>
      <c r="L1" t="s">
        <v>93</v>
      </c>
      <c r="M1" t="s">
        <v>94</v>
      </c>
    </row>
    <row r="2" spans="1:13" x14ac:dyDescent="0.35">
      <c r="A2">
        <v>4</v>
      </c>
      <c r="B2">
        <v>3</v>
      </c>
      <c r="C2">
        <v>3</v>
      </c>
      <c r="D2">
        <v>2.5</v>
      </c>
      <c r="E2">
        <v>3</v>
      </c>
      <c r="F2">
        <v>2.5</v>
      </c>
      <c r="G2">
        <v>2.5</v>
      </c>
      <c r="H2" s="19">
        <v>2</v>
      </c>
      <c r="I2">
        <v>2.6666666666666665</v>
      </c>
      <c r="J2">
        <v>2</v>
      </c>
      <c r="K2">
        <v>3</v>
      </c>
      <c r="L2">
        <v>2</v>
      </c>
      <c r="M2">
        <v>1.6666666666666667</v>
      </c>
    </row>
    <row r="3" spans="1:13" x14ac:dyDescent="0.35">
      <c r="A3">
        <v>3</v>
      </c>
      <c r="B3">
        <v>3</v>
      </c>
      <c r="C3">
        <v>3.5</v>
      </c>
      <c r="D3">
        <v>3</v>
      </c>
      <c r="E3">
        <v>3</v>
      </c>
      <c r="F3">
        <v>2.5</v>
      </c>
      <c r="G3">
        <v>2</v>
      </c>
      <c r="H3" s="19">
        <v>3</v>
      </c>
      <c r="I3">
        <v>2.6666666666666665</v>
      </c>
      <c r="J3">
        <v>3</v>
      </c>
      <c r="K3">
        <v>3</v>
      </c>
      <c r="L3">
        <v>3</v>
      </c>
      <c r="M3">
        <v>2</v>
      </c>
    </row>
    <row r="4" spans="1:13" x14ac:dyDescent="0.35">
      <c r="A4">
        <v>4</v>
      </c>
      <c r="B4">
        <v>3</v>
      </c>
      <c r="C4">
        <v>3</v>
      </c>
      <c r="D4">
        <v>2.5</v>
      </c>
      <c r="E4">
        <v>3.5</v>
      </c>
      <c r="F4">
        <v>3</v>
      </c>
      <c r="G4">
        <v>2</v>
      </c>
      <c r="H4" s="19">
        <v>3</v>
      </c>
      <c r="I4">
        <v>3.3333333333333335</v>
      </c>
      <c r="J4">
        <v>3.6666666666666665</v>
      </c>
      <c r="K4">
        <v>2.6666666666666665</v>
      </c>
      <c r="L4">
        <v>3.3333333333333335</v>
      </c>
      <c r="M4">
        <v>1.6666666666666667</v>
      </c>
    </row>
    <row r="5" spans="1:13" x14ac:dyDescent="0.35">
      <c r="A5">
        <v>4</v>
      </c>
      <c r="B5">
        <v>3</v>
      </c>
      <c r="C5">
        <v>3</v>
      </c>
      <c r="D5">
        <v>3.5</v>
      </c>
      <c r="E5">
        <v>3.5</v>
      </c>
      <c r="F5">
        <v>3.5</v>
      </c>
      <c r="G5">
        <v>2</v>
      </c>
      <c r="H5" s="19">
        <v>2.5</v>
      </c>
      <c r="I5">
        <v>3</v>
      </c>
      <c r="J5">
        <v>2.6666666666666665</v>
      </c>
      <c r="K5">
        <v>4</v>
      </c>
      <c r="L5">
        <v>2</v>
      </c>
      <c r="M5">
        <v>3</v>
      </c>
    </row>
    <row r="6" spans="1:13" x14ac:dyDescent="0.35">
      <c r="A6">
        <v>3</v>
      </c>
      <c r="B6">
        <v>3</v>
      </c>
      <c r="C6">
        <v>3</v>
      </c>
      <c r="D6">
        <v>2</v>
      </c>
      <c r="E6">
        <v>3</v>
      </c>
      <c r="F6">
        <v>2.5</v>
      </c>
      <c r="G6">
        <v>2</v>
      </c>
      <c r="H6" s="19">
        <v>2</v>
      </c>
      <c r="I6">
        <v>3</v>
      </c>
      <c r="J6">
        <v>2</v>
      </c>
      <c r="K6">
        <v>2</v>
      </c>
      <c r="L6">
        <v>1.6666666666666667</v>
      </c>
      <c r="M6">
        <v>1</v>
      </c>
    </row>
    <row r="7" spans="1:13" x14ac:dyDescent="0.35">
      <c r="A7">
        <v>3</v>
      </c>
      <c r="B7">
        <v>3</v>
      </c>
      <c r="C7">
        <v>3</v>
      </c>
      <c r="D7">
        <v>2</v>
      </c>
      <c r="E7">
        <v>4</v>
      </c>
      <c r="F7">
        <v>2.5</v>
      </c>
      <c r="G7">
        <v>1.5</v>
      </c>
      <c r="H7" s="19">
        <v>2</v>
      </c>
      <c r="I7">
        <v>3</v>
      </c>
      <c r="J7">
        <v>2</v>
      </c>
      <c r="K7">
        <v>2</v>
      </c>
      <c r="L7">
        <v>1.3333333333333333</v>
      </c>
      <c r="M7">
        <v>1</v>
      </c>
    </row>
    <row r="8" spans="1:13" x14ac:dyDescent="0.35">
      <c r="A8">
        <v>3.5</v>
      </c>
      <c r="B8">
        <v>3</v>
      </c>
      <c r="C8">
        <v>3</v>
      </c>
      <c r="D8">
        <v>1</v>
      </c>
      <c r="E8">
        <v>3</v>
      </c>
      <c r="F8">
        <v>2.5</v>
      </c>
      <c r="G8">
        <v>2</v>
      </c>
      <c r="H8" s="19">
        <v>2</v>
      </c>
      <c r="I8">
        <v>4</v>
      </c>
      <c r="J8">
        <v>2</v>
      </c>
      <c r="K8">
        <v>1.3333333333333333</v>
      </c>
      <c r="L8">
        <v>1.3333333333333333</v>
      </c>
      <c r="M8">
        <v>1</v>
      </c>
    </row>
    <row r="9" spans="1:13" x14ac:dyDescent="0.35">
      <c r="A9">
        <v>3.5</v>
      </c>
      <c r="B9">
        <v>3</v>
      </c>
      <c r="C9">
        <v>3.5</v>
      </c>
      <c r="D9">
        <v>3</v>
      </c>
      <c r="E9">
        <v>3</v>
      </c>
      <c r="F9">
        <v>3</v>
      </c>
      <c r="G9">
        <v>2</v>
      </c>
      <c r="H9" s="19">
        <v>3</v>
      </c>
      <c r="I9">
        <v>3</v>
      </c>
      <c r="J9">
        <v>3</v>
      </c>
      <c r="K9">
        <v>2.6666666666666665</v>
      </c>
      <c r="L9">
        <v>1.6666666666666667</v>
      </c>
      <c r="M9">
        <v>1.6666666666666667</v>
      </c>
    </row>
    <row r="10" spans="1:13" x14ac:dyDescent="0.35">
      <c r="A10">
        <v>3</v>
      </c>
      <c r="B10">
        <v>2.5</v>
      </c>
      <c r="C10">
        <v>3</v>
      </c>
      <c r="D10">
        <v>2.5</v>
      </c>
      <c r="E10">
        <v>3</v>
      </c>
      <c r="F10">
        <v>2.5</v>
      </c>
      <c r="G10">
        <v>2</v>
      </c>
      <c r="H10" s="19">
        <v>1.5</v>
      </c>
      <c r="I10">
        <v>3.3333333333333335</v>
      </c>
      <c r="J10">
        <v>1.3333333333333333</v>
      </c>
      <c r="K10">
        <v>1.3333333333333333</v>
      </c>
      <c r="L10">
        <v>1.3333333333333333</v>
      </c>
      <c r="M10">
        <v>1</v>
      </c>
    </row>
    <row r="11" spans="1:13" x14ac:dyDescent="0.35">
      <c r="A11">
        <v>3.5</v>
      </c>
      <c r="B11">
        <v>3</v>
      </c>
      <c r="C11">
        <v>3</v>
      </c>
      <c r="D11">
        <v>2</v>
      </c>
      <c r="E11">
        <v>3.5</v>
      </c>
      <c r="F11">
        <v>1.5</v>
      </c>
      <c r="G11">
        <v>2</v>
      </c>
      <c r="H11" s="19">
        <v>2</v>
      </c>
      <c r="I11">
        <v>3.3333333333333335</v>
      </c>
      <c r="J11">
        <v>1.6666666666666667</v>
      </c>
      <c r="K11">
        <v>1.6666666666666667</v>
      </c>
      <c r="L11">
        <v>1.3333333333333333</v>
      </c>
      <c r="M11">
        <v>1</v>
      </c>
    </row>
    <row r="12" spans="1:13" x14ac:dyDescent="0.35">
      <c r="A12">
        <v>3.5</v>
      </c>
      <c r="B12">
        <v>3</v>
      </c>
      <c r="C12">
        <v>3</v>
      </c>
      <c r="D12">
        <v>2.5</v>
      </c>
      <c r="E12">
        <v>3.5</v>
      </c>
      <c r="F12">
        <v>2</v>
      </c>
      <c r="G12">
        <v>2</v>
      </c>
      <c r="H12" s="19">
        <v>2</v>
      </c>
      <c r="I12">
        <v>3.6666666666666665</v>
      </c>
      <c r="J12">
        <v>2</v>
      </c>
      <c r="K12">
        <v>1.6666666666666667</v>
      </c>
      <c r="L12">
        <v>1.3333333333333333</v>
      </c>
      <c r="M12">
        <v>1</v>
      </c>
    </row>
    <row r="13" spans="1:13" x14ac:dyDescent="0.35">
      <c r="A13">
        <v>4</v>
      </c>
      <c r="B13">
        <v>2.5</v>
      </c>
      <c r="C13">
        <v>3.5</v>
      </c>
      <c r="D13">
        <v>3</v>
      </c>
      <c r="E13">
        <v>4</v>
      </c>
      <c r="F13">
        <v>3.5</v>
      </c>
      <c r="G13">
        <v>3</v>
      </c>
      <c r="H13" s="19">
        <v>3.5</v>
      </c>
      <c r="I13">
        <v>3.6666666666666665</v>
      </c>
      <c r="J13">
        <v>3.3333333333333335</v>
      </c>
      <c r="K13">
        <v>4</v>
      </c>
      <c r="L13">
        <v>3.3333333333333335</v>
      </c>
      <c r="M13">
        <v>4</v>
      </c>
    </row>
    <row r="14" spans="1:13" x14ac:dyDescent="0.35">
      <c r="A14">
        <v>3.5</v>
      </c>
      <c r="B14">
        <v>2</v>
      </c>
      <c r="C14">
        <v>3</v>
      </c>
      <c r="D14">
        <v>2</v>
      </c>
      <c r="E14">
        <v>2.5</v>
      </c>
      <c r="F14">
        <v>2</v>
      </c>
      <c r="G14">
        <v>2.5</v>
      </c>
      <c r="H14" s="19">
        <v>1.5</v>
      </c>
      <c r="I14">
        <v>4</v>
      </c>
      <c r="J14">
        <v>2.3333333333333335</v>
      </c>
      <c r="K14">
        <v>2</v>
      </c>
      <c r="L14">
        <v>2.3333333333333335</v>
      </c>
      <c r="M14">
        <v>1.6666666666666667</v>
      </c>
    </row>
    <row r="15" spans="1:13" x14ac:dyDescent="0.35">
      <c r="A15">
        <v>4</v>
      </c>
      <c r="B15">
        <v>3</v>
      </c>
      <c r="C15">
        <v>3</v>
      </c>
      <c r="D15">
        <v>3</v>
      </c>
      <c r="E15">
        <v>3.5</v>
      </c>
      <c r="F15">
        <v>3</v>
      </c>
      <c r="G15">
        <v>2</v>
      </c>
      <c r="H15" s="19">
        <v>1.5</v>
      </c>
      <c r="I15">
        <v>4</v>
      </c>
      <c r="J15">
        <v>1.6666666666666667</v>
      </c>
      <c r="K15">
        <v>1.3333333333333333</v>
      </c>
      <c r="L15">
        <v>1</v>
      </c>
      <c r="M15">
        <v>1</v>
      </c>
    </row>
    <row r="16" spans="1:13" x14ac:dyDescent="0.35">
      <c r="A16">
        <v>4</v>
      </c>
      <c r="B16">
        <v>3</v>
      </c>
      <c r="C16">
        <v>3</v>
      </c>
      <c r="D16">
        <v>4</v>
      </c>
      <c r="E16">
        <v>3</v>
      </c>
      <c r="F16">
        <v>3</v>
      </c>
      <c r="G16">
        <v>3</v>
      </c>
      <c r="H16" s="19">
        <v>2.5</v>
      </c>
      <c r="I16">
        <v>3.6666666666666665</v>
      </c>
      <c r="J16">
        <v>3.3333333333333335</v>
      </c>
      <c r="K16">
        <v>2</v>
      </c>
      <c r="L16">
        <v>1.6666666666666667</v>
      </c>
      <c r="M16">
        <v>1.6666666666666667</v>
      </c>
    </row>
    <row r="17" spans="1:13" x14ac:dyDescent="0.35">
      <c r="A17">
        <v>3.5</v>
      </c>
      <c r="B17">
        <v>3</v>
      </c>
      <c r="C17">
        <v>3</v>
      </c>
      <c r="D17">
        <v>2.5</v>
      </c>
      <c r="E17">
        <v>3</v>
      </c>
      <c r="F17">
        <v>3</v>
      </c>
      <c r="G17">
        <v>2</v>
      </c>
      <c r="H17" s="19">
        <v>2.5</v>
      </c>
      <c r="I17">
        <v>3</v>
      </c>
      <c r="J17">
        <v>2.3333333333333335</v>
      </c>
      <c r="K17">
        <v>2.3333333333333335</v>
      </c>
      <c r="L17">
        <v>2</v>
      </c>
      <c r="M17">
        <v>1.3333333333333333</v>
      </c>
    </row>
    <row r="18" spans="1:13" x14ac:dyDescent="0.35">
      <c r="A18">
        <v>4</v>
      </c>
      <c r="B18">
        <v>3</v>
      </c>
      <c r="C18">
        <v>3.5</v>
      </c>
      <c r="D18">
        <v>4</v>
      </c>
      <c r="E18">
        <v>3.5</v>
      </c>
      <c r="F18">
        <v>3</v>
      </c>
      <c r="G18">
        <v>2.5</v>
      </c>
      <c r="H18" s="19">
        <v>4</v>
      </c>
      <c r="I18">
        <v>4</v>
      </c>
      <c r="J18">
        <v>3.6666666666666665</v>
      </c>
      <c r="K18">
        <v>3.6666666666666665</v>
      </c>
      <c r="L18">
        <v>3.6666666666666665</v>
      </c>
      <c r="M18">
        <v>3</v>
      </c>
    </row>
    <row r="19" spans="1:13" x14ac:dyDescent="0.35">
      <c r="A19">
        <v>3.5</v>
      </c>
      <c r="B19">
        <v>3</v>
      </c>
      <c r="C19">
        <v>3.5</v>
      </c>
      <c r="D19">
        <v>3</v>
      </c>
      <c r="E19">
        <v>2.5</v>
      </c>
      <c r="F19">
        <v>3</v>
      </c>
      <c r="G19">
        <v>2</v>
      </c>
      <c r="H19" s="19">
        <v>2</v>
      </c>
      <c r="I19">
        <v>4</v>
      </c>
      <c r="J19">
        <v>1.6666666666666667</v>
      </c>
      <c r="K19">
        <v>1.3333333333333333</v>
      </c>
      <c r="L19">
        <v>1.3333333333333333</v>
      </c>
      <c r="M19">
        <v>1</v>
      </c>
    </row>
    <row r="20" spans="1:13" x14ac:dyDescent="0.35">
      <c r="A20">
        <v>3.5</v>
      </c>
      <c r="B20">
        <v>2</v>
      </c>
      <c r="C20">
        <v>3</v>
      </c>
      <c r="D20">
        <v>2</v>
      </c>
      <c r="E20">
        <v>3</v>
      </c>
      <c r="F20">
        <v>2.5</v>
      </c>
      <c r="G20">
        <v>2.5</v>
      </c>
      <c r="H20" s="19">
        <v>2</v>
      </c>
      <c r="I20">
        <v>3.6666666666666665</v>
      </c>
      <c r="J20">
        <v>1.6666666666666667</v>
      </c>
      <c r="K20">
        <v>2.6666666666666665</v>
      </c>
      <c r="L20">
        <v>1.6666666666666667</v>
      </c>
      <c r="M20">
        <v>1</v>
      </c>
    </row>
    <row r="21" spans="1:13" x14ac:dyDescent="0.35">
      <c r="A21">
        <v>3.5</v>
      </c>
      <c r="B21">
        <v>2.5</v>
      </c>
      <c r="C21">
        <v>3</v>
      </c>
      <c r="D21">
        <v>2.5</v>
      </c>
      <c r="E21">
        <v>3</v>
      </c>
      <c r="F21">
        <v>2.5</v>
      </c>
      <c r="G21">
        <v>1.5</v>
      </c>
      <c r="H21" s="19">
        <v>2</v>
      </c>
      <c r="I21">
        <v>3.6666666666666665</v>
      </c>
      <c r="J21">
        <v>1.6666666666666667</v>
      </c>
      <c r="K21">
        <v>1.6666666666666667</v>
      </c>
      <c r="L21">
        <v>2.6666666666666665</v>
      </c>
      <c r="M21">
        <v>2</v>
      </c>
    </row>
    <row r="22" spans="1:13" x14ac:dyDescent="0.35">
      <c r="A22">
        <v>3</v>
      </c>
      <c r="B22">
        <v>3</v>
      </c>
      <c r="C22">
        <v>4</v>
      </c>
      <c r="D22">
        <v>3</v>
      </c>
      <c r="E22">
        <v>3.5</v>
      </c>
      <c r="F22">
        <v>3</v>
      </c>
      <c r="G22">
        <v>3</v>
      </c>
      <c r="H22" s="19">
        <v>3</v>
      </c>
      <c r="I22">
        <v>3.3333333333333335</v>
      </c>
      <c r="J22">
        <v>2.3333333333333335</v>
      </c>
      <c r="K22">
        <v>3</v>
      </c>
      <c r="L22">
        <v>3.3333333333333335</v>
      </c>
      <c r="M22">
        <v>3.6666666666666665</v>
      </c>
    </row>
    <row r="23" spans="1:13" x14ac:dyDescent="0.35">
      <c r="A23">
        <v>3.5</v>
      </c>
      <c r="B23">
        <v>3.5</v>
      </c>
      <c r="C23">
        <v>3.5</v>
      </c>
      <c r="D23">
        <v>4</v>
      </c>
      <c r="E23">
        <v>3.5</v>
      </c>
      <c r="F23">
        <v>3</v>
      </c>
      <c r="G23">
        <v>3.5</v>
      </c>
      <c r="H23" s="19">
        <v>3.5</v>
      </c>
      <c r="I23">
        <v>3.6666666666666665</v>
      </c>
      <c r="J23">
        <v>2.6666666666666665</v>
      </c>
      <c r="K23">
        <v>2.6666666666666665</v>
      </c>
      <c r="L23">
        <v>3</v>
      </c>
      <c r="M23">
        <v>3.6666666666666665</v>
      </c>
    </row>
    <row r="24" spans="1:13" x14ac:dyDescent="0.35">
      <c r="A24">
        <v>3</v>
      </c>
      <c r="B24">
        <v>2.5</v>
      </c>
      <c r="C24">
        <v>2.5</v>
      </c>
      <c r="D24">
        <v>2.5</v>
      </c>
      <c r="E24">
        <v>3</v>
      </c>
      <c r="F24">
        <v>2.5</v>
      </c>
      <c r="G24">
        <v>2.5</v>
      </c>
      <c r="H24" s="19">
        <v>2.5</v>
      </c>
      <c r="I24">
        <v>4</v>
      </c>
      <c r="J24">
        <v>2.3333333333333335</v>
      </c>
      <c r="K24">
        <v>1.6666666666666667</v>
      </c>
      <c r="L24">
        <v>3</v>
      </c>
      <c r="M24">
        <v>2</v>
      </c>
    </row>
    <row r="25" spans="1:13" x14ac:dyDescent="0.35">
      <c r="A25">
        <v>3</v>
      </c>
      <c r="B25">
        <v>3</v>
      </c>
      <c r="C25">
        <v>2.5</v>
      </c>
      <c r="D25">
        <v>3</v>
      </c>
      <c r="E25">
        <v>3</v>
      </c>
      <c r="F25">
        <v>2.5</v>
      </c>
      <c r="G25">
        <v>2.5</v>
      </c>
      <c r="H25" s="19">
        <v>3</v>
      </c>
      <c r="I25">
        <v>3.3333333333333335</v>
      </c>
      <c r="J25">
        <v>2</v>
      </c>
      <c r="K25">
        <v>2.3333333333333335</v>
      </c>
      <c r="L25">
        <v>3</v>
      </c>
      <c r="M25">
        <v>2.3333333333333335</v>
      </c>
    </row>
    <row r="26" spans="1:13" x14ac:dyDescent="0.35">
      <c r="A26">
        <v>3</v>
      </c>
      <c r="B26">
        <v>3</v>
      </c>
      <c r="C26">
        <v>3</v>
      </c>
      <c r="D26">
        <v>2.5</v>
      </c>
      <c r="E26">
        <v>3.5</v>
      </c>
      <c r="F26">
        <v>2.5</v>
      </c>
      <c r="G26">
        <v>2</v>
      </c>
      <c r="H26" s="19">
        <v>1.5</v>
      </c>
      <c r="I26">
        <v>3.6666666666666665</v>
      </c>
      <c r="J26">
        <v>1.6666666666666667</v>
      </c>
      <c r="K26">
        <v>2</v>
      </c>
      <c r="L26">
        <v>1.6666666666666667</v>
      </c>
      <c r="M26">
        <v>1.3333333333333333</v>
      </c>
    </row>
    <row r="27" spans="1:13" x14ac:dyDescent="0.35">
      <c r="A27">
        <v>3.5</v>
      </c>
      <c r="B27">
        <v>3</v>
      </c>
      <c r="C27">
        <v>2</v>
      </c>
      <c r="D27">
        <v>3</v>
      </c>
      <c r="E27">
        <v>3</v>
      </c>
      <c r="F27">
        <v>3.5</v>
      </c>
      <c r="G27">
        <v>3</v>
      </c>
      <c r="H27" s="19">
        <v>2.5</v>
      </c>
      <c r="I27">
        <v>3.3333333333333335</v>
      </c>
      <c r="J27">
        <v>2.3333333333333335</v>
      </c>
      <c r="K27">
        <v>1.6666666666666667</v>
      </c>
      <c r="L27">
        <v>1.6666666666666667</v>
      </c>
      <c r="M27">
        <v>1.3333333333333333</v>
      </c>
    </row>
    <row r="28" spans="1:13" x14ac:dyDescent="0.35">
      <c r="A28">
        <v>3.5</v>
      </c>
      <c r="B28">
        <v>3</v>
      </c>
      <c r="C28">
        <v>3</v>
      </c>
      <c r="D28">
        <v>2</v>
      </c>
      <c r="E28">
        <v>2.5</v>
      </c>
      <c r="F28">
        <v>3</v>
      </c>
      <c r="G28">
        <v>2.5</v>
      </c>
      <c r="H28" s="19">
        <v>2</v>
      </c>
      <c r="I28">
        <v>3.3333333333333335</v>
      </c>
      <c r="J28">
        <v>1.6666666666666667</v>
      </c>
      <c r="K28">
        <v>1.6666666666666667</v>
      </c>
      <c r="L28">
        <v>1.3333333333333333</v>
      </c>
      <c r="M28">
        <v>1</v>
      </c>
    </row>
    <row r="29" spans="1:13" x14ac:dyDescent="0.35">
      <c r="A29">
        <v>3.5</v>
      </c>
      <c r="B29">
        <v>3</v>
      </c>
      <c r="C29">
        <v>3</v>
      </c>
      <c r="D29">
        <v>2</v>
      </c>
      <c r="E29">
        <v>2.5</v>
      </c>
      <c r="F29">
        <v>2.5</v>
      </c>
      <c r="G29">
        <v>2.5</v>
      </c>
      <c r="H29" s="19">
        <v>1</v>
      </c>
      <c r="I29">
        <v>2.3333333333333335</v>
      </c>
      <c r="J29">
        <v>2</v>
      </c>
      <c r="K29">
        <v>2</v>
      </c>
      <c r="L29">
        <v>1.3333333333333333</v>
      </c>
      <c r="M29">
        <v>1.6666666666666667</v>
      </c>
    </row>
    <row r="30" spans="1:13" x14ac:dyDescent="0.35">
      <c r="A30">
        <v>4</v>
      </c>
      <c r="B30">
        <v>3</v>
      </c>
      <c r="C30">
        <v>3.5</v>
      </c>
      <c r="D30">
        <v>3</v>
      </c>
      <c r="E30">
        <v>3.5</v>
      </c>
      <c r="F30">
        <v>3</v>
      </c>
      <c r="G30">
        <v>2</v>
      </c>
      <c r="H30" s="19">
        <v>2</v>
      </c>
      <c r="I30">
        <v>3.6666666666666665</v>
      </c>
      <c r="J30">
        <v>2</v>
      </c>
      <c r="K30">
        <v>1</v>
      </c>
      <c r="L30">
        <v>1</v>
      </c>
      <c r="M30">
        <v>1</v>
      </c>
    </row>
    <row r="31" spans="1:13" x14ac:dyDescent="0.35">
      <c r="A31">
        <v>3</v>
      </c>
      <c r="B31">
        <v>3.5</v>
      </c>
      <c r="C31">
        <v>3</v>
      </c>
      <c r="D31">
        <v>3</v>
      </c>
      <c r="E31">
        <v>3</v>
      </c>
      <c r="F31">
        <v>2.5</v>
      </c>
      <c r="G31">
        <v>2.5</v>
      </c>
      <c r="H31" s="19">
        <v>2</v>
      </c>
      <c r="I31">
        <v>4</v>
      </c>
      <c r="J31">
        <v>2</v>
      </c>
      <c r="K31">
        <v>1.3333333333333333</v>
      </c>
      <c r="L31">
        <v>1</v>
      </c>
      <c r="M31">
        <v>1</v>
      </c>
    </row>
    <row r="32" spans="1:13" x14ac:dyDescent="0.35">
      <c r="A32">
        <v>3</v>
      </c>
      <c r="B32">
        <v>3</v>
      </c>
      <c r="C32">
        <v>4</v>
      </c>
      <c r="D32">
        <v>3</v>
      </c>
      <c r="E32">
        <v>3</v>
      </c>
      <c r="F32">
        <v>2.5</v>
      </c>
      <c r="G32">
        <v>2.5</v>
      </c>
      <c r="H32" s="19">
        <v>2</v>
      </c>
      <c r="I32">
        <v>3.3333333333333335</v>
      </c>
      <c r="J32">
        <v>2.3333333333333335</v>
      </c>
      <c r="K32">
        <v>1.6666666666666667</v>
      </c>
      <c r="L32">
        <v>1</v>
      </c>
      <c r="M32">
        <v>1</v>
      </c>
    </row>
    <row r="33" spans="1:13" x14ac:dyDescent="0.35">
      <c r="A33">
        <v>3</v>
      </c>
      <c r="B33">
        <v>3.5</v>
      </c>
      <c r="C33">
        <v>3</v>
      </c>
      <c r="D33">
        <v>3</v>
      </c>
      <c r="E33">
        <v>4</v>
      </c>
      <c r="F33">
        <v>3</v>
      </c>
      <c r="G33">
        <v>3</v>
      </c>
      <c r="H33" s="19">
        <v>2</v>
      </c>
      <c r="I33">
        <v>3.6666666666666665</v>
      </c>
      <c r="J33">
        <v>2.3333333333333335</v>
      </c>
      <c r="K33">
        <v>1.6666666666666667</v>
      </c>
      <c r="L33">
        <v>1.6666666666666667</v>
      </c>
      <c r="M33">
        <v>1</v>
      </c>
    </row>
    <row r="34" spans="1:13" x14ac:dyDescent="0.35">
      <c r="A34">
        <v>3.5</v>
      </c>
      <c r="B34">
        <v>3</v>
      </c>
      <c r="C34">
        <v>3</v>
      </c>
      <c r="D34">
        <v>3</v>
      </c>
      <c r="E34">
        <v>3.5</v>
      </c>
      <c r="F34">
        <v>3</v>
      </c>
      <c r="G34">
        <v>3</v>
      </c>
      <c r="H34" s="19">
        <v>2</v>
      </c>
      <c r="I34">
        <v>3.3333333333333335</v>
      </c>
      <c r="J34">
        <v>2.3333333333333335</v>
      </c>
      <c r="K34">
        <v>2</v>
      </c>
      <c r="L34">
        <v>1</v>
      </c>
      <c r="M34">
        <v>1</v>
      </c>
    </row>
    <row r="35" spans="1:13" x14ac:dyDescent="0.35">
      <c r="A35">
        <v>4</v>
      </c>
      <c r="B35">
        <v>3</v>
      </c>
      <c r="C35">
        <v>3</v>
      </c>
      <c r="D35">
        <v>3</v>
      </c>
      <c r="E35">
        <v>4</v>
      </c>
      <c r="F35">
        <v>3</v>
      </c>
      <c r="G35">
        <v>2.5</v>
      </c>
      <c r="H35" s="19">
        <v>1</v>
      </c>
      <c r="I35">
        <v>4</v>
      </c>
      <c r="J35">
        <v>2.3333333333333335</v>
      </c>
      <c r="K35">
        <v>1.6666666666666667</v>
      </c>
      <c r="L35">
        <v>1</v>
      </c>
      <c r="M35">
        <v>1</v>
      </c>
    </row>
    <row r="36" spans="1:13" x14ac:dyDescent="0.35">
      <c r="A36">
        <v>4</v>
      </c>
      <c r="B36">
        <v>3</v>
      </c>
      <c r="C36">
        <v>4</v>
      </c>
      <c r="D36">
        <v>3</v>
      </c>
      <c r="E36">
        <v>3</v>
      </c>
      <c r="F36">
        <v>3</v>
      </c>
      <c r="G36">
        <v>2</v>
      </c>
      <c r="H36" s="19">
        <v>2.5</v>
      </c>
      <c r="I36">
        <v>4</v>
      </c>
      <c r="J36">
        <v>1.3333333333333333</v>
      </c>
      <c r="K36">
        <v>1.3333333333333333</v>
      </c>
      <c r="L36">
        <v>1</v>
      </c>
      <c r="M36">
        <v>1</v>
      </c>
    </row>
    <row r="37" spans="1:13" x14ac:dyDescent="0.35">
      <c r="A37">
        <v>4</v>
      </c>
      <c r="B37">
        <v>3.5</v>
      </c>
      <c r="C37">
        <v>3</v>
      </c>
      <c r="D37">
        <v>3</v>
      </c>
      <c r="E37">
        <v>4</v>
      </c>
      <c r="F37">
        <v>3</v>
      </c>
      <c r="G37">
        <v>2</v>
      </c>
      <c r="H37" s="19">
        <v>2</v>
      </c>
      <c r="I37">
        <v>3.6666666666666665</v>
      </c>
      <c r="J37">
        <v>1.6666666666666667</v>
      </c>
      <c r="K37">
        <v>1</v>
      </c>
      <c r="L37">
        <v>1</v>
      </c>
      <c r="M37">
        <v>1</v>
      </c>
    </row>
    <row r="38" spans="1:13" x14ac:dyDescent="0.35">
      <c r="A38">
        <v>4</v>
      </c>
      <c r="B38">
        <v>3</v>
      </c>
      <c r="C38">
        <v>3.5</v>
      </c>
      <c r="D38">
        <v>2.5</v>
      </c>
      <c r="E38">
        <v>4</v>
      </c>
      <c r="F38">
        <v>3</v>
      </c>
      <c r="G38">
        <v>2</v>
      </c>
      <c r="H38" s="19">
        <v>2</v>
      </c>
      <c r="I38">
        <v>4</v>
      </c>
      <c r="J38">
        <v>2</v>
      </c>
      <c r="K38">
        <v>1.6666666666666667</v>
      </c>
      <c r="L38">
        <v>1</v>
      </c>
      <c r="M38">
        <v>1</v>
      </c>
    </row>
    <row r="39" spans="1:13" x14ac:dyDescent="0.35">
      <c r="A39">
        <v>4</v>
      </c>
      <c r="B39">
        <v>3</v>
      </c>
      <c r="C39">
        <v>3.5</v>
      </c>
      <c r="D39">
        <v>2.5</v>
      </c>
      <c r="E39">
        <v>3.5</v>
      </c>
      <c r="F39">
        <v>3</v>
      </c>
      <c r="G39">
        <v>2.5</v>
      </c>
      <c r="H39" s="19">
        <v>2</v>
      </c>
      <c r="I39">
        <v>4</v>
      </c>
      <c r="J39">
        <v>1.6666666666666667</v>
      </c>
      <c r="K39">
        <v>1.6666666666666667</v>
      </c>
      <c r="L39">
        <v>1.6666666666666667</v>
      </c>
      <c r="M39">
        <v>1</v>
      </c>
    </row>
    <row r="40" spans="1:13" x14ac:dyDescent="0.35">
      <c r="A40">
        <v>3.5</v>
      </c>
      <c r="B40">
        <v>3</v>
      </c>
      <c r="C40">
        <v>3.5</v>
      </c>
      <c r="D40">
        <v>2.5</v>
      </c>
      <c r="E40">
        <v>3</v>
      </c>
      <c r="F40">
        <v>3</v>
      </c>
      <c r="G40">
        <v>2</v>
      </c>
      <c r="H40" s="19">
        <v>1.5</v>
      </c>
      <c r="I40">
        <v>3.6666666666666665</v>
      </c>
      <c r="J40">
        <v>1.6666666666666667</v>
      </c>
      <c r="K40">
        <v>1</v>
      </c>
      <c r="L40">
        <v>1.6666666666666667</v>
      </c>
      <c r="M40">
        <v>1</v>
      </c>
    </row>
    <row r="41" spans="1:13" x14ac:dyDescent="0.35">
      <c r="A41">
        <v>4</v>
      </c>
      <c r="B41">
        <v>3</v>
      </c>
      <c r="C41">
        <v>4</v>
      </c>
      <c r="D41">
        <v>2.5</v>
      </c>
      <c r="E41">
        <v>2.5</v>
      </c>
      <c r="F41">
        <v>3.5</v>
      </c>
      <c r="G41">
        <v>2</v>
      </c>
      <c r="H41" s="19">
        <v>2</v>
      </c>
      <c r="I41">
        <v>3.6666666666666665</v>
      </c>
      <c r="J41">
        <v>1.6666666666666667</v>
      </c>
      <c r="K41">
        <v>2</v>
      </c>
      <c r="L41">
        <v>1.6666666666666667</v>
      </c>
      <c r="M41">
        <v>1</v>
      </c>
    </row>
    <row r="42" spans="1:13" x14ac:dyDescent="0.35">
      <c r="A42">
        <v>3.5</v>
      </c>
      <c r="B42">
        <v>3</v>
      </c>
      <c r="C42">
        <v>3.5</v>
      </c>
      <c r="D42">
        <v>3</v>
      </c>
      <c r="E42">
        <v>3.5</v>
      </c>
      <c r="F42">
        <v>3</v>
      </c>
      <c r="G42">
        <v>3</v>
      </c>
      <c r="H42" s="19">
        <v>1.5</v>
      </c>
      <c r="I42">
        <v>3.6666666666666665</v>
      </c>
      <c r="J42">
        <v>2.6666666666666665</v>
      </c>
      <c r="K42">
        <v>2.6666666666666665</v>
      </c>
      <c r="L42">
        <v>3.3333333333333335</v>
      </c>
      <c r="M42">
        <v>2.6666666666666665</v>
      </c>
    </row>
    <row r="43" spans="1:13" x14ac:dyDescent="0.35">
      <c r="A43">
        <v>3</v>
      </c>
      <c r="B43">
        <v>3.5</v>
      </c>
      <c r="C43">
        <v>3</v>
      </c>
      <c r="D43">
        <v>2.5</v>
      </c>
      <c r="E43">
        <v>3.5</v>
      </c>
      <c r="F43">
        <v>2.5</v>
      </c>
      <c r="G43">
        <v>3</v>
      </c>
      <c r="H43" s="19">
        <v>2</v>
      </c>
      <c r="I43">
        <v>4</v>
      </c>
      <c r="J43">
        <v>1.6666666666666667</v>
      </c>
      <c r="K43">
        <v>2.3333333333333335</v>
      </c>
      <c r="L43">
        <v>3.3333333333333335</v>
      </c>
      <c r="M43">
        <v>2.3333333333333335</v>
      </c>
    </row>
    <row r="44" spans="1:13" x14ac:dyDescent="0.35">
      <c r="A44">
        <v>3.5</v>
      </c>
      <c r="B44">
        <v>3.5</v>
      </c>
      <c r="C44">
        <v>3</v>
      </c>
      <c r="D44">
        <v>3</v>
      </c>
      <c r="E44">
        <v>3.5</v>
      </c>
      <c r="F44">
        <v>3.5</v>
      </c>
      <c r="G44">
        <v>4</v>
      </c>
      <c r="H44" s="19">
        <v>3</v>
      </c>
      <c r="I44">
        <v>4</v>
      </c>
      <c r="J44">
        <v>2.6666666666666665</v>
      </c>
      <c r="K44">
        <v>3.3333333333333335</v>
      </c>
      <c r="L44">
        <v>3.6666666666666665</v>
      </c>
      <c r="M44">
        <v>2.6666666666666665</v>
      </c>
    </row>
    <row r="45" spans="1:13" x14ac:dyDescent="0.35">
      <c r="A45">
        <v>4</v>
      </c>
      <c r="B45">
        <v>3.5</v>
      </c>
      <c r="C45">
        <v>3.5</v>
      </c>
      <c r="D45">
        <v>3.5</v>
      </c>
      <c r="E45">
        <v>3</v>
      </c>
      <c r="F45">
        <v>3.5</v>
      </c>
      <c r="G45">
        <v>3.5</v>
      </c>
      <c r="H45" s="19">
        <v>3</v>
      </c>
      <c r="I45">
        <v>4</v>
      </c>
      <c r="J45">
        <v>3</v>
      </c>
      <c r="K45">
        <v>3</v>
      </c>
      <c r="L45">
        <v>4</v>
      </c>
      <c r="M45">
        <v>2.6666666666666665</v>
      </c>
    </row>
    <row r="46" spans="1:13" x14ac:dyDescent="0.35">
      <c r="A46">
        <v>4</v>
      </c>
      <c r="B46">
        <v>3</v>
      </c>
      <c r="C46">
        <v>2.5</v>
      </c>
      <c r="D46">
        <v>3</v>
      </c>
      <c r="E46">
        <v>3</v>
      </c>
      <c r="F46">
        <v>2.5</v>
      </c>
      <c r="G46">
        <v>2.5</v>
      </c>
      <c r="H46" s="19">
        <v>3</v>
      </c>
      <c r="I46">
        <v>4</v>
      </c>
      <c r="J46">
        <v>2.6666666666666665</v>
      </c>
      <c r="K46">
        <v>2.6666666666666665</v>
      </c>
      <c r="L46">
        <v>3.3333333333333335</v>
      </c>
      <c r="M46">
        <v>2</v>
      </c>
    </row>
    <row r="47" spans="1:13" x14ac:dyDescent="0.35">
      <c r="A47">
        <v>4</v>
      </c>
      <c r="B47">
        <v>3</v>
      </c>
      <c r="C47">
        <v>3.5</v>
      </c>
      <c r="D47">
        <v>3</v>
      </c>
      <c r="E47">
        <v>3</v>
      </c>
      <c r="F47">
        <v>2.5</v>
      </c>
      <c r="G47">
        <v>3</v>
      </c>
      <c r="H47" s="19">
        <v>2.5</v>
      </c>
      <c r="I47">
        <v>4</v>
      </c>
      <c r="J47">
        <v>2.3333333333333335</v>
      </c>
      <c r="K47">
        <v>2.6666666666666665</v>
      </c>
      <c r="L47">
        <v>3.3333333333333335</v>
      </c>
      <c r="M47">
        <v>2.6666666666666665</v>
      </c>
    </row>
    <row r="48" spans="1:13" x14ac:dyDescent="0.35">
      <c r="A48">
        <v>3.5</v>
      </c>
      <c r="B48">
        <v>3</v>
      </c>
      <c r="C48">
        <v>2.5</v>
      </c>
      <c r="D48">
        <v>3</v>
      </c>
      <c r="E48">
        <v>3</v>
      </c>
      <c r="F48">
        <v>3</v>
      </c>
      <c r="G48">
        <v>3.5</v>
      </c>
      <c r="H48" s="19">
        <v>2.5</v>
      </c>
      <c r="I48">
        <v>4</v>
      </c>
      <c r="J48">
        <v>3</v>
      </c>
      <c r="K48">
        <v>2.3333333333333335</v>
      </c>
      <c r="L48">
        <v>2.6666666666666665</v>
      </c>
      <c r="M48">
        <v>2</v>
      </c>
    </row>
    <row r="49" spans="1:13" x14ac:dyDescent="0.35">
      <c r="A49">
        <v>3.5</v>
      </c>
      <c r="B49">
        <v>3</v>
      </c>
      <c r="C49">
        <v>3.5</v>
      </c>
      <c r="D49">
        <v>3</v>
      </c>
      <c r="E49">
        <v>3</v>
      </c>
      <c r="F49">
        <v>2.5</v>
      </c>
      <c r="G49">
        <v>2.5</v>
      </c>
      <c r="H49" s="19">
        <v>2</v>
      </c>
      <c r="I49">
        <v>4</v>
      </c>
      <c r="J49">
        <v>2.6666666666666665</v>
      </c>
      <c r="K49">
        <v>2.3333333333333335</v>
      </c>
      <c r="L49">
        <v>2.3333333333333335</v>
      </c>
      <c r="M49">
        <v>2</v>
      </c>
    </row>
    <row r="50" spans="1:13" x14ac:dyDescent="0.35">
      <c r="A50">
        <v>4</v>
      </c>
      <c r="B50">
        <v>3</v>
      </c>
      <c r="C50">
        <v>3.5</v>
      </c>
      <c r="D50">
        <v>3</v>
      </c>
      <c r="E50">
        <v>3.5</v>
      </c>
      <c r="F50">
        <v>3</v>
      </c>
      <c r="G50">
        <v>2.5</v>
      </c>
      <c r="H50" s="19">
        <v>2</v>
      </c>
      <c r="I50">
        <v>3.6666666666666665</v>
      </c>
      <c r="J50">
        <v>2.3333333333333335</v>
      </c>
      <c r="K50">
        <v>2.3333333333333335</v>
      </c>
      <c r="L50">
        <v>2.6666666666666665</v>
      </c>
      <c r="M50">
        <v>1.3333333333333333</v>
      </c>
    </row>
    <row r="51" spans="1:13" x14ac:dyDescent="0.35">
      <c r="A51">
        <v>4</v>
      </c>
      <c r="B51">
        <v>3.5</v>
      </c>
      <c r="C51">
        <v>3.5</v>
      </c>
      <c r="D51">
        <v>4</v>
      </c>
      <c r="E51">
        <v>4</v>
      </c>
      <c r="F51">
        <v>3.5</v>
      </c>
      <c r="G51">
        <v>3.5</v>
      </c>
      <c r="H51" s="19">
        <v>3</v>
      </c>
      <c r="I51">
        <v>3.3333333333333335</v>
      </c>
      <c r="J51">
        <v>3.3333333333333335</v>
      </c>
      <c r="K51">
        <v>2.6666666666666665</v>
      </c>
      <c r="L51">
        <v>2.3333333333333335</v>
      </c>
      <c r="M51">
        <v>2.3333333333333335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Karakteristik Wirausaha</vt:lpstr>
      <vt:lpstr>Ketrampilan Kewirausahaan</vt:lpstr>
      <vt:lpstr>Data Spearman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aldila mawanti</dc:creator>
  <cp:lastModifiedBy>Juli Yandi Rahman</cp:lastModifiedBy>
  <dcterms:created xsi:type="dcterms:W3CDTF">2023-09-06T10:42:29Z</dcterms:created>
  <dcterms:modified xsi:type="dcterms:W3CDTF">2024-08-15T14:40:09Z</dcterms:modified>
</cp:coreProperties>
</file>