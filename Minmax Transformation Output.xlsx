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8_{DB56B54C-BD3F-475D-BE1D-A172AE3F3C17}" xr6:coauthVersionLast="47" xr6:coauthVersionMax="47" xr10:uidLastSave="{00000000-0000-0000-0000-000000000000}"/>
  <bookViews>
    <workbookView xWindow="-110" yWindow="-110" windowWidth="19420" windowHeight="10300" activeTab="1" xr2:uid="{FB6B4542-533D-4FA4-91DF-1E124815EF63}"/>
  </bookViews>
  <sheets>
    <sheet name="Output Asli" sheetId="1" r:id="rId1"/>
    <sheet name="Coefficients" sheetId="3" r:id="rId2"/>
    <sheet name="Significance Onl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3" l="1"/>
  <c r="T2" i="3"/>
  <c r="U2" i="3"/>
  <c r="V2" i="3"/>
  <c r="W2" i="3"/>
  <c r="X2" i="3"/>
  <c r="Y2" i="3"/>
  <c r="Z2" i="3"/>
  <c r="AA2" i="3"/>
  <c r="AB2" i="3"/>
  <c r="AC2" i="3"/>
  <c r="AD2" i="3"/>
  <c r="AE2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S3" i="2"/>
  <c r="T3" i="2"/>
  <c r="U3" i="2"/>
  <c r="V3" i="2"/>
  <c r="W3" i="2"/>
  <c r="X3" i="2"/>
  <c r="Y3" i="2"/>
  <c r="Z3" i="2"/>
  <c r="AA3" i="2"/>
  <c r="AB3" i="2"/>
  <c r="AC3" i="2"/>
  <c r="AD3" i="2"/>
  <c r="AE3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T2" i="2"/>
  <c r="U2" i="2"/>
  <c r="V2" i="2"/>
  <c r="W2" i="2"/>
  <c r="X2" i="2"/>
  <c r="Y2" i="2"/>
  <c r="Z2" i="2"/>
  <c r="AA2" i="2"/>
  <c r="AB2" i="2"/>
  <c r="AC2" i="2"/>
  <c r="AD2" i="2"/>
  <c r="AE2" i="2"/>
  <c r="S2" i="2"/>
</calcChain>
</file>

<file path=xl/sharedStrings.xml><?xml version="1.0" encoding="utf-8"?>
<sst xmlns="http://schemas.openxmlformats.org/spreadsheetml/2006/main" count="243" uniqueCount="48">
  <si>
    <t/>
  </si>
  <si>
    <t>Correlations</t>
  </si>
  <si>
    <t>Kepercayaan Diri</t>
  </si>
  <si>
    <t>Berani Mengambil Resiko</t>
  </si>
  <si>
    <t>Kerja Keras</t>
  </si>
  <si>
    <t>Inovatif</t>
  </si>
  <si>
    <t>Mandiri</t>
  </si>
  <si>
    <t>Berorientasi ke Depan</t>
  </si>
  <si>
    <t>Tanggap</t>
  </si>
  <si>
    <t>Memiliki Jaringan</t>
  </si>
  <si>
    <t>Keterampilan Profesi</t>
  </si>
  <si>
    <t>Ket. Manajemen</t>
  </si>
  <si>
    <t>Ket. Strategi</t>
  </si>
  <si>
    <t>Ket. Jaringan</t>
  </si>
  <si>
    <t>Ket. Peluang</t>
  </si>
  <si>
    <t>Spearman's rho</t>
  </si>
  <si>
    <t>Correlation Coefficient</t>
  </si>
  <si>
    <t>Sig. (2-tailed)</t>
  </si>
  <si>
    <t>N</t>
  </si>
  <si>
    <t>*. Correlation is significant at the 0.05 level (2-tailed).</t>
  </si>
  <si>
    <t>**. Correlation is significant at the 0.01 level (2-tailed).</t>
  </si>
  <si>
    <r>
      <t>.293</t>
    </r>
    <r>
      <rPr>
        <vertAlign val="superscript"/>
        <sz val="9"/>
        <color indexed="60"/>
        <rFont val="Arial"/>
        <family val="2"/>
      </rPr>
      <t>*</t>
    </r>
  </si>
  <si>
    <r>
      <t>.418</t>
    </r>
    <r>
      <rPr>
        <vertAlign val="superscript"/>
        <sz val="9"/>
        <color indexed="60"/>
        <rFont val="Arial"/>
        <family val="2"/>
      </rPr>
      <t>**</t>
    </r>
  </si>
  <si>
    <r>
      <t>.291</t>
    </r>
    <r>
      <rPr>
        <vertAlign val="superscript"/>
        <sz val="9"/>
        <color indexed="60"/>
        <rFont val="Arial"/>
        <family val="2"/>
      </rPr>
      <t>*</t>
    </r>
  </si>
  <si>
    <r>
      <t>.295</t>
    </r>
    <r>
      <rPr>
        <vertAlign val="superscript"/>
        <sz val="9"/>
        <color indexed="60"/>
        <rFont val="Arial"/>
        <family val="2"/>
      </rPr>
      <t>*</t>
    </r>
  </si>
  <si>
    <r>
      <t>.464</t>
    </r>
    <r>
      <rPr>
        <vertAlign val="superscript"/>
        <sz val="9"/>
        <color indexed="60"/>
        <rFont val="Arial"/>
        <family val="2"/>
      </rPr>
      <t>**</t>
    </r>
  </si>
  <si>
    <r>
      <t>.503</t>
    </r>
    <r>
      <rPr>
        <vertAlign val="superscript"/>
        <sz val="9"/>
        <color indexed="60"/>
        <rFont val="Arial"/>
        <family val="2"/>
      </rPr>
      <t>**</t>
    </r>
  </si>
  <si>
    <r>
      <t>.426</t>
    </r>
    <r>
      <rPr>
        <vertAlign val="superscript"/>
        <sz val="9"/>
        <color indexed="60"/>
        <rFont val="Arial"/>
        <family val="2"/>
      </rPr>
      <t>**</t>
    </r>
  </si>
  <si>
    <r>
      <t>.501</t>
    </r>
    <r>
      <rPr>
        <vertAlign val="superscript"/>
        <sz val="9"/>
        <color indexed="60"/>
        <rFont val="Arial"/>
        <family val="2"/>
      </rPr>
      <t>**</t>
    </r>
  </si>
  <si>
    <r>
      <t>.286</t>
    </r>
    <r>
      <rPr>
        <vertAlign val="superscript"/>
        <sz val="9"/>
        <color indexed="60"/>
        <rFont val="Arial"/>
        <family val="2"/>
      </rPr>
      <t>*</t>
    </r>
  </si>
  <si>
    <r>
      <t>.401</t>
    </r>
    <r>
      <rPr>
        <vertAlign val="superscript"/>
        <sz val="9"/>
        <color indexed="60"/>
        <rFont val="Arial"/>
        <family val="2"/>
      </rPr>
      <t>**</t>
    </r>
  </si>
  <si>
    <r>
      <t>.393</t>
    </r>
    <r>
      <rPr>
        <vertAlign val="superscript"/>
        <sz val="9"/>
        <color indexed="60"/>
        <rFont val="Arial"/>
        <family val="2"/>
      </rPr>
      <t>**</t>
    </r>
  </si>
  <si>
    <r>
      <t>.288</t>
    </r>
    <r>
      <rPr>
        <vertAlign val="superscript"/>
        <sz val="9"/>
        <color indexed="60"/>
        <rFont val="Arial"/>
        <family val="2"/>
      </rPr>
      <t>*</t>
    </r>
  </si>
  <si>
    <r>
      <t>.357</t>
    </r>
    <r>
      <rPr>
        <vertAlign val="superscript"/>
        <sz val="9"/>
        <color indexed="60"/>
        <rFont val="Arial"/>
        <family val="2"/>
      </rPr>
      <t>*</t>
    </r>
  </si>
  <si>
    <r>
      <t>.362</t>
    </r>
    <r>
      <rPr>
        <vertAlign val="superscript"/>
        <sz val="9"/>
        <color indexed="60"/>
        <rFont val="Arial"/>
        <family val="2"/>
      </rPr>
      <t>**</t>
    </r>
  </si>
  <si>
    <r>
      <t>.417</t>
    </r>
    <r>
      <rPr>
        <vertAlign val="superscript"/>
        <sz val="9"/>
        <color indexed="60"/>
        <rFont val="Arial"/>
        <family val="2"/>
      </rPr>
      <t>**</t>
    </r>
  </si>
  <si>
    <r>
      <t>.463</t>
    </r>
    <r>
      <rPr>
        <vertAlign val="superscript"/>
        <sz val="9"/>
        <color indexed="60"/>
        <rFont val="Arial"/>
        <family val="2"/>
      </rPr>
      <t>**</t>
    </r>
  </si>
  <si>
    <r>
      <t>.584</t>
    </r>
    <r>
      <rPr>
        <vertAlign val="superscript"/>
        <sz val="9"/>
        <color indexed="60"/>
        <rFont val="Arial"/>
        <family val="2"/>
      </rPr>
      <t>**</t>
    </r>
  </si>
  <si>
    <r>
      <t>.597</t>
    </r>
    <r>
      <rPr>
        <vertAlign val="superscript"/>
        <sz val="9"/>
        <color indexed="60"/>
        <rFont val="Arial"/>
        <family val="2"/>
      </rPr>
      <t>**</t>
    </r>
  </si>
  <si>
    <r>
      <t>.541</t>
    </r>
    <r>
      <rPr>
        <vertAlign val="superscript"/>
        <sz val="9"/>
        <color indexed="60"/>
        <rFont val="Arial"/>
        <family val="2"/>
      </rPr>
      <t>**</t>
    </r>
  </si>
  <si>
    <r>
      <t>.508</t>
    </r>
    <r>
      <rPr>
        <vertAlign val="superscript"/>
        <sz val="9"/>
        <color indexed="60"/>
        <rFont val="Arial"/>
        <family val="2"/>
      </rPr>
      <t>**</t>
    </r>
  </si>
  <si>
    <r>
      <t>.699</t>
    </r>
    <r>
      <rPr>
        <vertAlign val="superscript"/>
        <sz val="9"/>
        <color indexed="60"/>
        <rFont val="Arial"/>
        <family val="2"/>
      </rPr>
      <t>**</t>
    </r>
  </si>
  <si>
    <r>
      <t>.593</t>
    </r>
    <r>
      <rPr>
        <vertAlign val="superscript"/>
        <sz val="9"/>
        <color indexed="60"/>
        <rFont val="Arial"/>
        <family val="2"/>
      </rPr>
      <t>**</t>
    </r>
  </si>
  <si>
    <r>
      <t>.690</t>
    </r>
    <r>
      <rPr>
        <vertAlign val="superscript"/>
        <sz val="9"/>
        <color indexed="60"/>
        <rFont val="Arial"/>
        <family val="2"/>
      </rPr>
      <t>**</t>
    </r>
  </si>
  <si>
    <r>
      <t>.675</t>
    </r>
    <r>
      <rPr>
        <vertAlign val="superscript"/>
        <sz val="9"/>
        <color indexed="60"/>
        <rFont val="Arial"/>
        <family val="2"/>
      </rPr>
      <t>**</t>
    </r>
  </si>
  <si>
    <r>
      <t>.751</t>
    </r>
    <r>
      <rPr>
        <vertAlign val="superscript"/>
        <sz val="9"/>
        <color indexed="60"/>
        <rFont val="Arial"/>
        <family val="2"/>
      </rPr>
      <t>**</t>
    </r>
  </si>
  <si>
    <r>
      <t>.757</t>
    </r>
    <r>
      <rPr>
        <vertAlign val="superscript"/>
        <sz val="9"/>
        <color indexed="60"/>
        <rFont val="Arial"/>
        <family val="2"/>
      </rPr>
      <t>**</t>
    </r>
  </si>
  <si>
    <t>0,357*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</si>
</sst>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_);_(* \(#,##0\);_(* &quot;-&quot;_);_(@_)"/>
    <numFmt numFmtId="168" formatCode="###0.000"/>
    <numFmt numFmtId="169" formatCode="#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vertAlign val="superscript"/>
      <sz val="9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168" fontId="4" fillId="0" borderId="7" xfId="1" applyNumberFormat="1" applyFont="1" applyBorder="1" applyAlignment="1">
      <alignment horizontal="right" vertical="top"/>
    </xf>
    <xf numFmtId="168" fontId="4" fillId="0" borderId="8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168" fontId="4" fillId="0" borderId="9" xfId="1" applyNumberFormat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right" vertical="top"/>
    </xf>
    <xf numFmtId="168" fontId="4" fillId="0" borderId="12" xfId="1" applyNumberFormat="1" applyFont="1" applyBorder="1" applyAlignment="1">
      <alignment horizontal="right" vertical="top"/>
    </xf>
    <xf numFmtId="168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169" fontId="4" fillId="0" borderId="15" xfId="1" applyNumberFormat="1" applyFont="1" applyBorder="1" applyAlignment="1">
      <alignment horizontal="right" vertical="top"/>
    </xf>
    <xf numFmtId="169" fontId="4" fillId="0" borderId="16" xfId="1" applyNumberFormat="1" applyFont="1" applyBorder="1" applyAlignment="1">
      <alignment horizontal="right" vertical="top"/>
    </xf>
    <xf numFmtId="169" fontId="4" fillId="0" borderId="17" xfId="1" applyNumberFormat="1" applyFont="1" applyBorder="1" applyAlignment="1">
      <alignment horizontal="right" vertical="top"/>
    </xf>
    <xf numFmtId="168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0" fontId="3" fillId="2" borderId="18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69" fontId="4" fillId="0" borderId="19" xfId="1" applyNumberFormat="1" applyFont="1" applyBorder="1" applyAlignment="1">
      <alignment horizontal="right" vertical="top"/>
    </xf>
    <xf numFmtId="169" fontId="4" fillId="0" borderId="20" xfId="1" applyNumberFormat="1" applyFont="1" applyBorder="1" applyAlignment="1">
      <alignment horizontal="right" vertical="top"/>
    </xf>
    <xf numFmtId="169" fontId="4" fillId="0" borderId="21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</cellXfs>
  <cellStyles count="2">
    <cellStyle name="Normal" xfId="0" builtinId="0"/>
    <cellStyle name="Normal_Sheet1" xfId="1" xr:uid="{13EB7186-B734-4F12-9E3B-01E2C0F18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9A59-F02E-4735-84ED-0FE4B1C1F682}">
  <dimension ref="A1:Q43"/>
  <sheetViews>
    <sheetView workbookViewId="0">
      <selection activeCell="H6" sqref="A1:P43"/>
    </sheetView>
  </sheetViews>
  <sheetFormatPr defaultRowHeight="14.5" x14ac:dyDescent="0.35"/>
  <sheetData>
    <row r="1" spans="1:17" x14ac:dyDescent="0.3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35.5" x14ac:dyDescent="0.35">
      <c r="A2" s="3" t="s">
        <v>0</v>
      </c>
      <c r="B2" s="3"/>
      <c r="C2" s="3"/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6" t="s">
        <v>14</v>
      </c>
      <c r="Q2" s="2"/>
    </row>
    <row r="3" spans="1:17" ht="34.5" x14ac:dyDescent="0.35">
      <c r="A3" s="7" t="s">
        <v>15</v>
      </c>
      <c r="B3" s="7" t="s">
        <v>2</v>
      </c>
      <c r="C3" s="8" t="s">
        <v>16</v>
      </c>
      <c r="D3" s="9">
        <v>1</v>
      </c>
      <c r="E3" s="10">
        <v>0.16230068887120316</v>
      </c>
      <c r="F3" s="10">
        <v>0.13448116935760407</v>
      </c>
      <c r="G3" s="11" t="s">
        <v>21</v>
      </c>
      <c r="H3" s="10">
        <v>0.27533329945841672</v>
      </c>
      <c r="I3" s="11" t="s">
        <v>22</v>
      </c>
      <c r="J3" s="10">
        <v>1.2225560850691279E-2</v>
      </c>
      <c r="K3" s="10">
        <v>0.17250657514601886</v>
      </c>
      <c r="L3" s="10">
        <v>0.24933827355718843</v>
      </c>
      <c r="M3" s="10">
        <v>0.19863741735439361</v>
      </c>
      <c r="N3" s="10">
        <v>0.18717922476854695</v>
      </c>
      <c r="O3" s="10">
        <v>6.8989697158036739E-2</v>
      </c>
      <c r="P3" s="12">
        <v>0.10650884289972166</v>
      </c>
      <c r="Q3" s="2"/>
    </row>
    <row r="4" spans="1:17" ht="23" x14ac:dyDescent="0.35">
      <c r="A4" s="13"/>
      <c r="B4" s="13"/>
      <c r="C4" s="14" t="s">
        <v>17</v>
      </c>
      <c r="D4" s="15"/>
      <c r="E4" s="16">
        <v>0.26012406219021944</v>
      </c>
      <c r="F4" s="16">
        <v>0.35179519572217988</v>
      </c>
      <c r="G4" s="16">
        <v>3.8705801088972126E-2</v>
      </c>
      <c r="H4" s="16">
        <v>5.2960294969276331E-2</v>
      </c>
      <c r="I4" s="16">
        <v>2.5304948287282166E-3</v>
      </c>
      <c r="J4" s="16">
        <v>0.93284625525742459</v>
      </c>
      <c r="K4" s="16">
        <v>0.23093290826608495</v>
      </c>
      <c r="L4" s="16">
        <v>8.0777836749110946E-2</v>
      </c>
      <c r="M4" s="16">
        <v>0.1667024679828695</v>
      </c>
      <c r="N4" s="16">
        <v>0.1930465500859426</v>
      </c>
      <c r="O4" s="16">
        <v>0.63403157125285547</v>
      </c>
      <c r="P4" s="17">
        <v>0.46162096429404631</v>
      </c>
      <c r="Q4" s="2"/>
    </row>
    <row r="5" spans="1:17" x14ac:dyDescent="0.35">
      <c r="A5" s="13"/>
      <c r="B5" s="18"/>
      <c r="C5" s="19" t="s">
        <v>18</v>
      </c>
      <c r="D5" s="20">
        <v>50</v>
      </c>
      <c r="E5" s="21">
        <v>50</v>
      </c>
      <c r="F5" s="21">
        <v>50</v>
      </c>
      <c r="G5" s="21">
        <v>50</v>
      </c>
      <c r="H5" s="21">
        <v>50</v>
      </c>
      <c r="I5" s="21">
        <v>50</v>
      </c>
      <c r="J5" s="21">
        <v>50</v>
      </c>
      <c r="K5" s="21">
        <v>50</v>
      </c>
      <c r="L5" s="21">
        <v>50</v>
      </c>
      <c r="M5" s="21">
        <v>50</v>
      </c>
      <c r="N5" s="21">
        <v>50</v>
      </c>
      <c r="O5" s="21">
        <v>50</v>
      </c>
      <c r="P5" s="22">
        <v>50</v>
      </c>
      <c r="Q5" s="2"/>
    </row>
    <row r="6" spans="1:17" ht="34.5" x14ac:dyDescent="0.35">
      <c r="A6" s="13"/>
      <c r="B6" s="18" t="s">
        <v>3</v>
      </c>
      <c r="C6" s="14" t="s">
        <v>16</v>
      </c>
      <c r="D6" s="23">
        <v>0.16230068887120316</v>
      </c>
      <c r="E6" s="16">
        <v>1</v>
      </c>
      <c r="F6" s="16">
        <v>0.12753711910188553</v>
      </c>
      <c r="G6" s="24" t="s">
        <v>23</v>
      </c>
      <c r="H6" s="16">
        <v>2.8559587540023086E-2</v>
      </c>
      <c r="I6" s="24" t="s">
        <v>24</v>
      </c>
      <c r="J6" s="16">
        <v>0.15913154178848898</v>
      </c>
      <c r="K6" s="16">
        <v>0.14341926198055832</v>
      </c>
      <c r="L6" s="16">
        <v>-0.15050252557722332</v>
      </c>
      <c r="M6" s="16">
        <v>0.17136951096910175</v>
      </c>
      <c r="N6" s="16">
        <v>-3.696987145669902E-2</v>
      </c>
      <c r="O6" s="16">
        <v>-0.12769001750115963</v>
      </c>
      <c r="P6" s="17">
        <v>-0.11697752872002817</v>
      </c>
      <c r="Q6" s="2"/>
    </row>
    <row r="7" spans="1:17" ht="23" x14ac:dyDescent="0.35">
      <c r="A7" s="13"/>
      <c r="B7" s="13"/>
      <c r="C7" s="14" t="s">
        <v>17</v>
      </c>
      <c r="D7" s="23">
        <v>0.26012406219021944</v>
      </c>
      <c r="E7" s="24"/>
      <c r="F7" s="16">
        <v>0.37743842468649424</v>
      </c>
      <c r="G7" s="16">
        <v>4.0134486449708781E-2</v>
      </c>
      <c r="H7" s="16">
        <v>0.84392218801893915</v>
      </c>
      <c r="I7" s="16">
        <v>3.7715677976435755E-2</v>
      </c>
      <c r="J7" s="16">
        <v>0.26967058867578136</v>
      </c>
      <c r="K7" s="16">
        <v>0.32040501980324398</v>
      </c>
      <c r="L7" s="16">
        <v>0.2968309393909675</v>
      </c>
      <c r="M7" s="16">
        <v>0.23406862196836983</v>
      </c>
      <c r="N7" s="16">
        <v>0.79880682914150447</v>
      </c>
      <c r="O7" s="16">
        <v>0.37686206536789202</v>
      </c>
      <c r="P7" s="17">
        <v>0.41850484869589599</v>
      </c>
      <c r="Q7" s="2"/>
    </row>
    <row r="8" spans="1:17" x14ac:dyDescent="0.35">
      <c r="A8" s="13"/>
      <c r="B8" s="18"/>
      <c r="C8" s="19" t="s">
        <v>18</v>
      </c>
      <c r="D8" s="20">
        <v>50</v>
      </c>
      <c r="E8" s="21">
        <v>50</v>
      </c>
      <c r="F8" s="21">
        <v>50</v>
      </c>
      <c r="G8" s="21">
        <v>50</v>
      </c>
      <c r="H8" s="21">
        <v>50</v>
      </c>
      <c r="I8" s="21">
        <v>50</v>
      </c>
      <c r="J8" s="21">
        <v>50</v>
      </c>
      <c r="K8" s="21">
        <v>50</v>
      </c>
      <c r="L8" s="21">
        <v>50</v>
      </c>
      <c r="M8" s="21">
        <v>50</v>
      </c>
      <c r="N8" s="21">
        <v>50</v>
      </c>
      <c r="O8" s="21">
        <v>50</v>
      </c>
      <c r="P8" s="22">
        <v>50</v>
      </c>
      <c r="Q8" s="2"/>
    </row>
    <row r="9" spans="1:17" ht="34.5" x14ac:dyDescent="0.35">
      <c r="A9" s="13"/>
      <c r="B9" s="18" t="s">
        <v>4</v>
      </c>
      <c r="C9" s="14" t="s">
        <v>16</v>
      </c>
      <c r="D9" s="23">
        <v>0.13448116935760407</v>
      </c>
      <c r="E9" s="16">
        <v>0.12753711910188553</v>
      </c>
      <c r="F9" s="16">
        <v>1</v>
      </c>
      <c r="G9" s="16">
        <v>-3.2094005492436323E-2</v>
      </c>
      <c r="H9" s="16">
        <v>-8.8226394891129184E-2</v>
      </c>
      <c r="I9" s="16">
        <v>0.1462382642688109</v>
      </c>
      <c r="J9" s="16">
        <v>-7.0663153271848925E-2</v>
      </c>
      <c r="K9" s="16">
        <v>-7.067378371508555E-2</v>
      </c>
      <c r="L9" s="16">
        <v>-3.4441073399757896E-2</v>
      </c>
      <c r="M9" s="16">
        <v>-0.22205799794017839</v>
      </c>
      <c r="N9" s="16">
        <v>-4.73789879901532E-2</v>
      </c>
      <c r="O9" s="16">
        <v>-0.26927177701830218</v>
      </c>
      <c r="P9" s="17">
        <v>-0.12402682673755538</v>
      </c>
      <c r="Q9" s="2"/>
    </row>
    <row r="10" spans="1:17" ht="23" x14ac:dyDescent="0.35">
      <c r="A10" s="13"/>
      <c r="B10" s="13"/>
      <c r="C10" s="14" t="s">
        <v>17</v>
      </c>
      <c r="D10" s="23">
        <v>0.35179519572217988</v>
      </c>
      <c r="E10" s="16">
        <v>0.37743842468649424</v>
      </c>
      <c r="F10" s="24"/>
      <c r="G10" s="16">
        <v>0.82489319687989593</v>
      </c>
      <c r="H10" s="16">
        <v>0.54234833480374323</v>
      </c>
      <c r="I10" s="16">
        <v>0.31088479645752515</v>
      </c>
      <c r="J10" s="16">
        <v>0.6258074461410178</v>
      </c>
      <c r="K10" s="16">
        <v>0.62575534574419234</v>
      </c>
      <c r="L10" s="16">
        <v>0.81231092129434956</v>
      </c>
      <c r="M10" s="16">
        <v>0.12116696950643249</v>
      </c>
      <c r="N10" s="16">
        <v>0.74387212031616445</v>
      </c>
      <c r="O10" s="16">
        <v>5.8628072605889217E-2</v>
      </c>
      <c r="P10" s="17">
        <v>0.39081491660969969</v>
      </c>
      <c r="Q10" s="2"/>
    </row>
    <row r="11" spans="1:17" x14ac:dyDescent="0.35">
      <c r="A11" s="13"/>
      <c r="B11" s="18"/>
      <c r="C11" s="19" t="s">
        <v>18</v>
      </c>
      <c r="D11" s="20">
        <v>50</v>
      </c>
      <c r="E11" s="21">
        <v>50</v>
      </c>
      <c r="F11" s="21">
        <v>50</v>
      </c>
      <c r="G11" s="21">
        <v>50</v>
      </c>
      <c r="H11" s="21">
        <v>50</v>
      </c>
      <c r="I11" s="21">
        <v>50</v>
      </c>
      <c r="J11" s="21">
        <v>50</v>
      </c>
      <c r="K11" s="21">
        <v>50</v>
      </c>
      <c r="L11" s="21">
        <v>50</v>
      </c>
      <c r="M11" s="21">
        <v>50</v>
      </c>
      <c r="N11" s="21">
        <v>50</v>
      </c>
      <c r="O11" s="21">
        <v>50</v>
      </c>
      <c r="P11" s="22">
        <v>50</v>
      </c>
      <c r="Q11" s="2"/>
    </row>
    <row r="12" spans="1:17" ht="34.5" x14ac:dyDescent="0.35">
      <c r="A12" s="13"/>
      <c r="B12" s="18" t="s">
        <v>5</v>
      </c>
      <c r="C12" s="14" t="s">
        <v>16</v>
      </c>
      <c r="D12" s="15" t="s">
        <v>21</v>
      </c>
      <c r="E12" s="24" t="s">
        <v>23</v>
      </c>
      <c r="F12" s="16">
        <v>-3.2094005492436323E-2</v>
      </c>
      <c r="G12" s="16">
        <v>1</v>
      </c>
      <c r="H12" s="16">
        <v>0.2390858883345284</v>
      </c>
      <c r="I12" s="24" t="s">
        <v>25</v>
      </c>
      <c r="J12" s="24" t="s">
        <v>26</v>
      </c>
      <c r="K12" s="24" t="s">
        <v>27</v>
      </c>
      <c r="L12" s="16">
        <v>0.12548088202488511</v>
      </c>
      <c r="M12" s="24" t="s">
        <v>28</v>
      </c>
      <c r="N12" s="24" t="s">
        <v>29</v>
      </c>
      <c r="O12" s="16">
        <v>0.26347444367735429</v>
      </c>
      <c r="P12" s="25" t="s">
        <v>30</v>
      </c>
      <c r="Q12" s="2"/>
    </row>
    <row r="13" spans="1:17" ht="23" x14ac:dyDescent="0.35">
      <c r="A13" s="13"/>
      <c r="B13" s="13"/>
      <c r="C13" s="14" t="s">
        <v>17</v>
      </c>
      <c r="D13" s="23">
        <v>3.8705801088972126E-2</v>
      </c>
      <c r="E13" s="16">
        <v>4.0134486449708781E-2</v>
      </c>
      <c r="F13" s="16">
        <v>0.82489319687989593</v>
      </c>
      <c r="G13" s="24"/>
      <c r="H13" s="16">
        <v>9.4488567796994674E-2</v>
      </c>
      <c r="I13" s="16">
        <v>6.8064135652295846E-4</v>
      </c>
      <c r="J13" s="16">
        <v>1.982907621598887E-4</v>
      </c>
      <c r="K13" s="16">
        <v>2.031065818718542E-3</v>
      </c>
      <c r="L13" s="16">
        <v>0.38524054007921027</v>
      </c>
      <c r="M13" s="16">
        <v>2.1395989663563643E-4</v>
      </c>
      <c r="N13" s="16">
        <v>4.4176838664687954E-2</v>
      </c>
      <c r="O13" s="16">
        <v>6.449549602273473E-2</v>
      </c>
      <c r="P13" s="17">
        <v>3.8667254385435132E-3</v>
      </c>
      <c r="Q13" s="2"/>
    </row>
    <row r="14" spans="1:17" x14ac:dyDescent="0.35">
      <c r="A14" s="13"/>
      <c r="B14" s="18"/>
      <c r="C14" s="19" t="s">
        <v>18</v>
      </c>
      <c r="D14" s="20">
        <v>50</v>
      </c>
      <c r="E14" s="21">
        <v>50</v>
      </c>
      <c r="F14" s="21">
        <v>50</v>
      </c>
      <c r="G14" s="21">
        <v>50</v>
      </c>
      <c r="H14" s="21">
        <v>50</v>
      </c>
      <c r="I14" s="21">
        <v>50</v>
      </c>
      <c r="J14" s="21">
        <v>50</v>
      </c>
      <c r="K14" s="21">
        <v>50</v>
      </c>
      <c r="L14" s="21">
        <v>50</v>
      </c>
      <c r="M14" s="21">
        <v>50</v>
      </c>
      <c r="N14" s="21">
        <v>50</v>
      </c>
      <c r="O14" s="21">
        <v>50</v>
      </c>
      <c r="P14" s="22">
        <v>50</v>
      </c>
      <c r="Q14" s="2"/>
    </row>
    <row r="15" spans="1:17" ht="34.5" x14ac:dyDescent="0.35">
      <c r="A15" s="13"/>
      <c r="B15" s="18" t="s">
        <v>6</v>
      </c>
      <c r="C15" s="14" t="s">
        <v>16</v>
      </c>
      <c r="D15" s="23">
        <v>0.27533329945841672</v>
      </c>
      <c r="E15" s="16">
        <v>2.8559587540023086E-2</v>
      </c>
      <c r="F15" s="16">
        <v>-8.8226394891129184E-2</v>
      </c>
      <c r="G15" s="16">
        <v>0.2390858883345284</v>
      </c>
      <c r="H15" s="16">
        <v>1</v>
      </c>
      <c r="I15" s="16">
        <v>0.15347467373980658</v>
      </c>
      <c r="J15" s="16">
        <v>0.13866645419475221</v>
      </c>
      <c r="K15" s="16">
        <v>0.17770675494888197</v>
      </c>
      <c r="L15" s="16">
        <v>9.1472274905666784E-2</v>
      </c>
      <c r="M15" s="16">
        <v>0.10953753117754343</v>
      </c>
      <c r="N15" s="16">
        <v>0.11749012812475884</v>
      </c>
      <c r="O15" s="16">
        <v>-1.1248954959821757E-2</v>
      </c>
      <c r="P15" s="17">
        <v>-3.125733974797585E-2</v>
      </c>
      <c r="Q15" s="2"/>
    </row>
    <row r="16" spans="1:17" ht="23" x14ac:dyDescent="0.35">
      <c r="A16" s="13"/>
      <c r="B16" s="13"/>
      <c r="C16" s="14" t="s">
        <v>17</v>
      </c>
      <c r="D16" s="23">
        <v>5.2960294969276331E-2</v>
      </c>
      <c r="E16" s="16">
        <v>0.84392218801893915</v>
      </c>
      <c r="F16" s="16">
        <v>0.54234833480374323</v>
      </c>
      <c r="G16" s="16">
        <v>9.4488567796994674E-2</v>
      </c>
      <c r="H16" s="24"/>
      <c r="I16" s="16">
        <v>0.28728284487350814</v>
      </c>
      <c r="J16" s="16">
        <v>0.33686906271975137</v>
      </c>
      <c r="K16" s="16">
        <v>0.21696107850998197</v>
      </c>
      <c r="L16" s="16">
        <v>0.52753475475967249</v>
      </c>
      <c r="M16" s="16">
        <v>0.44890628900053731</v>
      </c>
      <c r="N16" s="16">
        <v>0.4164544355852533</v>
      </c>
      <c r="O16" s="16">
        <v>0.9381997978631974</v>
      </c>
      <c r="P16" s="17">
        <v>0.82938916346435143</v>
      </c>
      <c r="Q16" s="2"/>
    </row>
    <row r="17" spans="1:17" x14ac:dyDescent="0.35">
      <c r="A17" s="13"/>
      <c r="B17" s="18"/>
      <c r="C17" s="19" t="s">
        <v>18</v>
      </c>
      <c r="D17" s="20">
        <v>50</v>
      </c>
      <c r="E17" s="21">
        <v>50</v>
      </c>
      <c r="F17" s="21">
        <v>50</v>
      </c>
      <c r="G17" s="21">
        <v>50</v>
      </c>
      <c r="H17" s="21">
        <v>50</v>
      </c>
      <c r="I17" s="21">
        <v>50</v>
      </c>
      <c r="J17" s="21">
        <v>50</v>
      </c>
      <c r="K17" s="21">
        <v>50</v>
      </c>
      <c r="L17" s="21">
        <v>50</v>
      </c>
      <c r="M17" s="21">
        <v>50</v>
      </c>
      <c r="N17" s="21">
        <v>50</v>
      </c>
      <c r="O17" s="21">
        <v>50</v>
      </c>
      <c r="P17" s="22">
        <v>50</v>
      </c>
      <c r="Q17" s="2"/>
    </row>
    <row r="18" spans="1:17" ht="34.5" x14ac:dyDescent="0.35">
      <c r="A18" s="13"/>
      <c r="B18" s="18" t="s">
        <v>7</v>
      </c>
      <c r="C18" s="14" t="s">
        <v>16</v>
      </c>
      <c r="D18" s="15" t="s">
        <v>22</v>
      </c>
      <c r="E18" s="24" t="s">
        <v>24</v>
      </c>
      <c r="F18" s="16">
        <v>0.1462382642688109</v>
      </c>
      <c r="G18" s="24" t="s">
        <v>25</v>
      </c>
      <c r="H18" s="16">
        <v>0.15347467373980658</v>
      </c>
      <c r="I18" s="16">
        <v>1</v>
      </c>
      <c r="J18" s="24" t="s">
        <v>31</v>
      </c>
      <c r="K18" s="16">
        <v>0.17869718185562777</v>
      </c>
      <c r="L18" s="16">
        <v>0.15412830356432133</v>
      </c>
      <c r="M18" s="24" t="s">
        <v>32</v>
      </c>
      <c r="N18" s="16">
        <v>9.1804585467653452E-2</v>
      </c>
      <c r="O18" s="16">
        <v>9.7824391786686601E-2</v>
      </c>
      <c r="P18" s="17">
        <v>6.3397310676494484E-2</v>
      </c>
      <c r="Q18" s="2"/>
    </row>
    <row r="19" spans="1:17" ht="23" x14ac:dyDescent="0.35">
      <c r="A19" s="13"/>
      <c r="B19" s="13"/>
      <c r="C19" s="14" t="s">
        <v>17</v>
      </c>
      <c r="D19" s="23">
        <v>2.5304948287282166E-3</v>
      </c>
      <c r="E19" s="16">
        <v>3.7715677976435755E-2</v>
      </c>
      <c r="F19" s="16">
        <v>0.31088479645752515</v>
      </c>
      <c r="G19" s="16">
        <v>6.8064135652295846E-4</v>
      </c>
      <c r="H19" s="16">
        <v>0.28728284487350814</v>
      </c>
      <c r="I19" s="24"/>
      <c r="J19" s="16">
        <v>4.742906107772938E-3</v>
      </c>
      <c r="K19" s="16">
        <v>0.21436825454406405</v>
      </c>
      <c r="L19" s="16">
        <v>0.28521028124626358</v>
      </c>
      <c r="M19" s="16">
        <v>4.271152484401837E-2</v>
      </c>
      <c r="N19" s="16">
        <v>0.52602951024477307</v>
      </c>
      <c r="O19" s="16">
        <v>0.49913521831288676</v>
      </c>
      <c r="P19" s="17">
        <v>0.66182948570053513</v>
      </c>
      <c r="Q19" s="2"/>
    </row>
    <row r="20" spans="1:17" x14ac:dyDescent="0.35">
      <c r="A20" s="13"/>
      <c r="B20" s="18"/>
      <c r="C20" s="19" t="s">
        <v>18</v>
      </c>
      <c r="D20" s="20">
        <v>50</v>
      </c>
      <c r="E20" s="21">
        <v>50</v>
      </c>
      <c r="F20" s="21">
        <v>50</v>
      </c>
      <c r="G20" s="21">
        <v>50</v>
      </c>
      <c r="H20" s="21">
        <v>50</v>
      </c>
      <c r="I20" s="21">
        <v>50</v>
      </c>
      <c r="J20" s="21">
        <v>50</v>
      </c>
      <c r="K20" s="21">
        <v>50</v>
      </c>
      <c r="L20" s="21">
        <v>50</v>
      </c>
      <c r="M20" s="21">
        <v>50</v>
      </c>
      <c r="N20" s="21">
        <v>50</v>
      </c>
      <c r="O20" s="21">
        <v>50</v>
      </c>
      <c r="P20" s="22">
        <v>50</v>
      </c>
      <c r="Q20" s="2"/>
    </row>
    <row r="21" spans="1:17" ht="34.5" x14ac:dyDescent="0.35">
      <c r="A21" s="13"/>
      <c r="B21" s="18" t="s">
        <v>8</v>
      </c>
      <c r="C21" s="14" t="s">
        <v>16</v>
      </c>
      <c r="D21" s="23">
        <v>1.2225560850691279E-2</v>
      </c>
      <c r="E21" s="16">
        <v>0.15913154178848898</v>
      </c>
      <c r="F21" s="16">
        <v>-7.0663153271848925E-2</v>
      </c>
      <c r="G21" s="24" t="s">
        <v>26</v>
      </c>
      <c r="H21" s="16">
        <v>0.13866645419475221</v>
      </c>
      <c r="I21" s="24" t="s">
        <v>31</v>
      </c>
      <c r="J21" s="16">
        <v>1</v>
      </c>
      <c r="K21" s="16">
        <v>0.26618461993021902</v>
      </c>
      <c r="L21" s="16">
        <v>0.11777582207253413</v>
      </c>
      <c r="M21" s="24" t="s">
        <v>33</v>
      </c>
      <c r="N21" s="24" t="s">
        <v>34</v>
      </c>
      <c r="O21" s="24" t="s">
        <v>35</v>
      </c>
      <c r="P21" s="25" t="s">
        <v>36</v>
      </c>
      <c r="Q21" s="2"/>
    </row>
    <row r="22" spans="1:17" ht="23" x14ac:dyDescent="0.35">
      <c r="A22" s="13"/>
      <c r="B22" s="13"/>
      <c r="C22" s="14" t="s">
        <v>17</v>
      </c>
      <c r="D22" s="23">
        <v>0.93284625525742459</v>
      </c>
      <c r="E22" s="16">
        <v>0.26967058867578136</v>
      </c>
      <c r="F22" s="16">
        <v>0.6258074461410178</v>
      </c>
      <c r="G22" s="16">
        <v>1.982907621598887E-4</v>
      </c>
      <c r="H22" s="16">
        <v>0.33686906271975137</v>
      </c>
      <c r="I22" s="16">
        <v>4.742906107772938E-3</v>
      </c>
      <c r="J22" s="24"/>
      <c r="K22" s="16">
        <v>6.1696689804972157E-2</v>
      </c>
      <c r="L22" s="16">
        <v>0.4153141467621746</v>
      </c>
      <c r="M22" s="16">
        <v>1.0871237948550386E-2</v>
      </c>
      <c r="N22" s="16">
        <v>9.8025972099965632E-3</v>
      </c>
      <c r="O22" s="16">
        <v>2.6139860694167284E-3</v>
      </c>
      <c r="P22" s="17">
        <v>7.1034920257504776E-4</v>
      </c>
      <c r="Q22" s="2"/>
    </row>
    <row r="23" spans="1:17" x14ac:dyDescent="0.35">
      <c r="A23" s="13"/>
      <c r="B23" s="18"/>
      <c r="C23" s="19" t="s">
        <v>18</v>
      </c>
      <c r="D23" s="20">
        <v>50</v>
      </c>
      <c r="E23" s="21">
        <v>50</v>
      </c>
      <c r="F23" s="21">
        <v>50</v>
      </c>
      <c r="G23" s="21">
        <v>50</v>
      </c>
      <c r="H23" s="21">
        <v>50</v>
      </c>
      <c r="I23" s="21">
        <v>50</v>
      </c>
      <c r="J23" s="21">
        <v>50</v>
      </c>
      <c r="K23" s="21">
        <v>50</v>
      </c>
      <c r="L23" s="21">
        <v>50</v>
      </c>
      <c r="M23" s="21">
        <v>50</v>
      </c>
      <c r="N23" s="21">
        <v>50</v>
      </c>
      <c r="O23" s="21">
        <v>50</v>
      </c>
      <c r="P23" s="22">
        <v>50</v>
      </c>
      <c r="Q23" s="2"/>
    </row>
    <row r="24" spans="1:17" ht="34.5" x14ac:dyDescent="0.35">
      <c r="A24" s="13"/>
      <c r="B24" s="18" t="s">
        <v>9</v>
      </c>
      <c r="C24" s="14" t="s">
        <v>16</v>
      </c>
      <c r="D24" s="23">
        <v>0.17250657514601886</v>
      </c>
      <c r="E24" s="16">
        <v>0.14341926198055832</v>
      </c>
      <c r="F24" s="16">
        <v>-7.067378371508555E-2</v>
      </c>
      <c r="G24" s="24" t="s">
        <v>27</v>
      </c>
      <c r="H24" s="16">
        <v>0.17770675494888197</v>
      </c>
      <c r="I24" s="16">
        <v>0.17869718185562777</v>
      </c>
      <c r="J24" s="16">
        <v>0.26618461993021902</v>
      </c>
      <c r="K24" s="16">
        <v>1</v>
      </c>
      <c r="L24" s="16">
        <v>-0.13246680113028422</v>
      </c>
      <c r="M24" s="24" t="s">
        <v>37</v>
      </c>
      <c r="N24" s="24" t="s">
        <v>38</v>
      </c>
      <c r="O24" s="24" t="s">
        <v>39</v>
      </c>
      <c r="P24" s="25" t="s">
        <v>40</v>
      </c>
      <c r="Q24" s="2"/>
    </row>
    <row r="25" spans="1:17" ht="23" x14ac:dyDescent="0.35">
      <c r="A25" s="13"/>
      <c r="B25" s="13"/>
      <c r="C25" s="14" t="s">
        <v>17</v>
      </c>
      <c r="D25" s="23">
        <v>0.23093290826608495</v>
      </c>
      <c r="E25" s="16">
        <v>0.32040501980324398</v>
      </c>
      <c r="F25" s="16">
        <v>0.62575534574419234</v>
      </c>
      <c r="G25" s="16">
        <v>2.031065818718542E-3</v>
      </c>
      <c r="H25" s="16">
        <v>0.21696107850998197</v>
      </c>
      <c r="I25" s="16">
        <v>0.21436825454406405</v>
      </c>
      <c r="J25" s="16">
        <v>6.1696689804972157E-2</v>
      </c>
      <c r="K25" s="24"/>
      <c r="L25" s="16">
        <v>0.35912141308475021</v>
      </c>
      <c r="M25" s="16">
        <v>8.3264270392707947E-6</v>
      </c>
      <c r="N25" s="16">
        <v>4.7377280734506394E-6</v>
      </c>
      <c r="O25" s="16">
        <v>4.902587689150346E-5</v>
      </c>
      <c r="P25" s="17">
        <v>1.6599754770625416E-4</v>
      </c>
      <c r="Q25" s="2"/>
    </row>
    <row r="26" spans="1:17" x14ac:dyDescent="0.35">
      <c r="A26" s="13"/>
      <c r="B26" s="18"/>
      <c r="C26" s="19" t="s">
        <v>18</v>
      </c>
      <c r="D26" s="20">
        <v>50</v>
      </c>
      <c r="E26" s="21">
        <v>50</v>
      </c>
      <c r="F26" s="21">
        <v>50</v>
      </c>
      <c r="G26" s="21">
        <v>50</v>
      </c>
      <c r="H26" s="21">
        <v>50</v>
      </c>
      <c r="I26" s="21">
        <v>50</v>
      </c>
      <c r="J26" s="21">
        <v>50</v>
      </c>
      <c r="K26" s="21">
        <v>50</v>
      </c>
      <c r="L26" s="21">
        <v>50</v>
      </c>
      <c r="M26" s="21">
        <v>50</v>
      </c>
      <c r="N26" s="21">
        <v>50</v>
      </c>
      <c r="O26" s="21">
        <v>50</v>
      </c>
      <c r="P26" s="22">
        <v>50</v>
      </c>
      <c r="Q26" s="2"/>
    </row>
    <row r="27" spans="1:17" ht="34.5" x14ac:dyDescent="0.35">
      <c r="A27" s="13"/>
      <c r="B27" s="18" t="s">
        <v>10</v>
      </c>
      <c r="C27" s="14" t="s">
        <v>16</v>
      </c>
      <c r="D27" s="23">
        <v>0.24933827355718843</v>
      </c>
      <c r="E27" s="16">
        <v>-0.15050252557722332</v>
      </c>
      <c r="F27" s="16">
        <v>-3.4441073399757896E-2</v>
      </c>
      <c r="G27" s="16">
        <v>0.12548088202488511</v>
      </c>
      <c r="H27" s="16">
        <v>9.1472274905666784E-2</v>
      </c>
      <c r="I27" s="16">
        <v>0.15412830356432133</v>
      </c>
      <c r="J27" s="16">
        <v>0.11777582207253413</v>
      </c>
      <c r="K27" s="16">
        <v>-0.13246680113028422</v>
      </c>
      <c r="L27" s="16">
        <v>1</v>
      </c>
      <c r="M27" s="16">
        <v>4.857396618216709E-2</v>
      </c>
      <c r="N27" s="16">
        <v>-0.18212013941950048</v>
      </c>
      <c r="O27" s="16">
        <v>0.1820292228368037</v>
      </c>
      <c r="P27" s="17">
        <v>8.8860191515558254E-3</v>
      </c>
      <c r="Q27" s="2"/>
    </row>
    <row r="28" spans="1:17" ht="23" x14ac:dyDescent="0.35">
      <c r="A28" s="13"/>
      <c r="B28" s="13"/>
      <c r="C28" s="14" t="s">
        <v>17</v>
      </c>
      <c r="D28" s="23">
        <v>8.0777836749110946E-2</v>
      </c>
      <c r="E28" s="16">
        <v>0.2968309393909675</v>
      </c>
      <c r="F28" s="16">
        <v>0.81231092129434956</v>
      </c>
      <c r="G28" s="16">
        <v>0.38524054007921027</v>
      </c>
      <c r="H28" s="16">
        <v>0.52753475475967249</v>
      </c>
      <c r="I28" s="16">
        <v>0.28521028124626358</v>
      </c>
      <c r="J28" s="16">
        <v>0.4153141467621746</v>
      </c>
      <c r="K28" s="16">
        <v>0.35912141308475021</v>
      </c>
      <c r="L28" s="24"/>
      <c r="M28" s="16">
        <v>0.73763994417526368</v>
      </c>
      <c r="N28" s="16">
        <v>0.20557419404472557</v>
      </c>
      <c r="O28" s="16">
        <v>0.20580443842940857</v>
      </c>
      <c r="P28" s="17">
        <v>0.95116363998009856</v>
      </c>
      <c r="Q28" s="2"/>
    </row>
    <row r="29" spans="1:17" x14ac:dyDescent="0.35">
      <c r="A29" s="13"/>
      <c r="B29" s="18"/>
      <c r="C29" s="19" t="s">
        <v>18</v>
      </c>
      <c r="D29" s="20">
        <v>50</v>
      </c>
      <c r="E29" s="21">
        <v>50</v>
      </c>
      <c r="F29" s="21">
        <v>50</v>
      </c>
      <c r="G29" s="21">
        <v>50</v>
      </c>
      <c r="H29" s="21">
        <v>50</v>
      </c>
      <c r="I29" s="21">
        <v>50</v>
      </c>
      <c r="J29" s="21">
        <v>50</v>
      </c>
      <c r="K29" s="21">
        <v>50</v>
      </c>
      <c r="L29" s="21">
        <v>50</v>
      </c>
      <c r="M29" s="21">
        <v>50</v>
      </c>
      <c r="N29" s="21">
        <v>50</v>
      </c>
      <c r="O29" s="21">
        <v>50</v>
      </c>
      <c r="P29" s="22">
        <v>50</v>
      </c>
      <c r="Q29" s="2"/>
    </row>
    <row r="30" spans="1:17" ht="34.5" x14ac:dyDescent="0.35">
      <c r="A30" s="13"/>
      <c r="B30" s="18" t="s">
        <v>11</v>
      </c>
      <c r="C30" s="14" t="s">
        <v>16</v>
      </c>
      <c r="D30" s="23">
        <v>0.19863741735439361</v>
      </c>
      <c r="E30" s="16">
        <v>0.17136951096910175</v>
      </c>
      <c r="F30" s="16">
        <v>-0.22205799794017839</v>
      </c>
      <c r="G30" s="24" t="s">
        <v>28</v>
      </c>
      <c r="H30" s="16">
        <v>0.10953753117754343</v>
      </c>
      <c r="I30" s="24" t="s">
        <v>32</v>
      </c>
      <c r="J30" s="24" t="s">
        <v>33</v>
      </c>
      <c r="K30" s="24" t="s">
        <v>37</v>
      </c>
      <c r="L30" s="16">
        <v>4.857396618216709E-2</v>
      </c>
      <c r="M30" s="16">
        <v>1</v>
      </c>
      <c r="N30" s="24" t="s">
        <v>41</v>
      </c>
      <c r="O30" s="24" t="s">
        <v>42</v>
      </c>
      <c r="P30" s="25" t="s">
        <v>43</v>
      </c>
      <c r="Q30" s="2"/>
    </row>
    <row r="31" spans="1:17" ht="23" x14ac:dyDescent="0.35">
      <c r="A31" s="13"/>
      <c r="B31" s="13"/>
      <c r="C31" s="14" t="s">
        <v>17</v>
      </c>
      <c r="D31" s="23">
        <v>0.1667024679828695</v>
      </c>
      <c r="E31" s="16">
        <v>0.23406862196836983</v>
      </c>
      <c r="F31" s="16">
        <v>0.12116696950643249</v>
      </c>
      <c r="G31" s="16">
        <v>2.1395989663563643E-4</v>
      </c>
      <c r="H31" s="16">
        <v>0.44890628900053731</v>
      </c>
      <c r="I31" s="16">
        <v>4.271152484401837E-2</v>
      </c>
      <c r="J31" s="16">
        <v>1.0871237948550386E-2</v>
      </c>
      <c r="K31" s="16">
        <v>8.3264270392707947E-6</v>
      </c>
      <c r="L31" s="16">
        <v>0.73763994417526368</v>
      </c>
      <c r="M31" s="24"/>
      <c r="N31" s="16">
        <v>1.6671732062192685E-8</v>
      </c>
      <c r="O31" s="16">
        <v>5.606906143734018E-6</v>
      </c>
      <c r="P31" s="17">
        <v>3.0554165052466054E-8</v>
      </c>
      <c r="Q31" s="2"/>
    </row>
    <row r="32" spans="1:17" x14ac:dyDescent="0.35">
      <c r="A32" s="13"/>
      <c r="B32" s="18"/>
      <c r="C32" s="19" t="s">
        <v>18</v>
      </c>
      <c r="D32" s="20">
        <v>50</v>
      </c>
      <c r="E32" s="21">
        <v>50</v>
      </c>
      <c r="F32" s="21">
        <v>50</v>
      </c>
      <c r="G32" s="21">
        <v>50</v>
      </c>
      <c r="H32" s="21">
        <v>50</v>
      </c>
      <c r="I32" s="21">
        <v>50</v>
      </c>
      <c r="J32" s="21">
        <v>50</v>
      </c>
      <c r="K32" s="21">
        <v>50</v>
      </c>
      <c r="L32" s="21">
        <v>50</v>
      </c>
      <c r="M32" s="21">
        <v>50</v>
      </c>
      <c r="N32" s="21">
        <v>50</v>
      </c>
      <c r="O32" s="21">
        <v>50</v>
      </c>
      <c r="P32" s="22">
        <v>50</v>
      </c>
      <c r="Q32" s="2"/>
    </row>
    <row r="33" spans="1:17" ht="34.5" x14ac:dyDescent="0.35">
      <c r="A33" s="13"/>
      <c r="B33" s="18" t="s">
        <v>12</v>
      </c>
      <c r="C33" s="14" t="s">
        <v>16</v>
      </c>
      <c r="D33" s="23">
        <v>0.18717922476854695</v>
      </c>
      <c r="E33" s="16">
        <v>-3.696987145669902E-2</v>
      </c>
      <c r="F33" s="16">
        <v>-4.73789879901532E-2</v>
      </c>
      <c r="G33" s="24" t="s">
        <v>29</v>
      </c>
      <c r="H33" s="16">
        <v>0.11749012812475884</v>
      </c>
      <c r="I33" s="16">
        <v>9.1804585467653452E-2</v>
      </c>
      <c r="J33" s="24" t="s">
        <v>34</v>
      </c>
      <c r="K33" s="24" t="s">
        <v>38</v>
      </c>
      <c r="L33" s="16">
        <v>-0.18212013941950048</v>
      </c>
      <c r="M33" s="24" t="s">
        <v>41</v>
      </c>
      <c r="N33" s="16">
        <v>1</v>
      </c>
      <c r="O33" s="24" t="s">
        <v>44</v>
      </c>
      <c r="P33" s="25" t="s">
        <v>45</v>
      </c>
      <c r="Q33" s="2"/>
    </row>
    <row r="34" spans="1:17" ht="23" x14ac:dyDescent="0.35">
      <c r="A34" s="13"/>
      <c r="B34" s="13"/>
      <c r="C34" s="14" t="s">
        <v>17</v>
      </c>
      <c r="D34" s="23">
        <v>0.1930465500859426</v>
      </c>
      <c r="E34" s="16">
        <v>0.79880682914150447</v>
      </c>
      <c r="F34" s="16">
        <v>0.74387212031616445</v>
      </c>
      <c r="G34" s="16">
        <v>4.4176838664687954E-2</v>
      </c>
      <c r="H34" s="16">
        <v>0.4164544355852533</v>
      </c>
      <c r="I34" s="16">
        <v>0.52602951024477307</v>
      </c>
      <c r="J34" s="16">
        <v>9.8025972099965632E-3</v>
      </c>
      <c r="K34" s="16">
        <v>4.7377280734506394E-6</v>
      </c>
      <c r="L34" s="16">
        <v>0.20557419404472557</v>
      </c>
      <c r="M34" s="16">
        <v>1.6671732062192685E-8</v>
      </c>
      <c r="N34" s="24"/>
      <c r="O34" s="16">
        <v>7.7634082196321232E-8</v>
      </c>
      <c r="P34" s="17">
        <v>3.4563580486555506E-10</v>
      </c>
      <c r="Q34" s="2"/>
    </row>
    <row r="35" spans="1:17" x14ac:dyDescent="0.35">
      <c r="A35" s="13"/>
      <c r="B35" s="18"/>
      <c r="C35" s="19" t="s">
        <v>18</v>
      </c>
      <c r="D35" s="20">
        <v>50</v>
      </c>
      <c r="E35" s="21">
        <v>50</v>
      </c>
      <c r="F35" s="21">
        <v>50</v>
      </c>
      <c r="G35" s="21">
        <v>50</v>
      </c>
      <c r="H35" s="21">
        <v>50</v>
      </c>
      <c r="I35" s="21">
        <v>50</v>
      </c>
      <c r="J35" s="21">
        <v>50</v>
      </c>
      <c r="K35" s="21">
        <v>50</v>
      </c>
      <c r="L35" s="21">
        <v>50</v>
      </c>
      <c r="M35" s="21">
        <v>50</v>
      </c>
      <c r="N35" s="21">
        <v>50</v>
      </c>
      <c r="O35" s="21">
        <v>50</v>
      </c>
      <c r="P35" s="22">
        <v>50</v>
      </c>
      <c r="Q35" s="2"/>
    </row>
    <row r="36" spans="1:17" ht="34.5" x14ac:dyDescent="0.35">
      <c r="A36" s="13"/>
      <c r="B36" s="18" t="s">
        <v>13</v>
      </c>
      <c r="C36" s="14" t="s">
        <v>16</v>
      </c>
      <c r="D36" s="23">
        <v>6.8989697158036739E-2</v>
      </c>
      <c r="E36" s="16">
        <v>-0.12769001750115963</v>
      </c>
      <c r="F36" s="16">
        <v>-0.26927177701830218</v>
      </c>
      <c r="G36" s="16">
        <v>0.26347444367735429</v>
      </c>
      <c r="H36" s="16">
        <v>-1.1248954959821757E-2</v>
      </c>
      <c r="I36" s="16">
        <v>9.7824391786686601E-2</v>
      </c>
      <c r="J36" s="24" t="s">
        <v>35</v>
      </c>
      <c r="K36" s="24" t="s">
        <v>39</v>
      </c>
      <c r="L36" s="16">
        <v>0.1820292228368037</v>
      </c>
      <c r="M36" s="24" t="s">
        <v>42</v>
      </c>
      <c r="N36" s="24" t="s">
        <v>44</v>
      </c>
      <c r="O36" s="16">
        <v>1</v>
      </c>
      <c r="P36" s="25" t="s">
        <v>46</v>
      </c>
      <c r="Q36" s="2"/>
    </row>
    <row r="37" spans="1:17" ht="23" x14ac:dyDescent="0.35">
      <c r="A37" s="13"/>
      <c r="B37" s="13"/>
      <c r="C37" s="14" t="s">
        <v>17</v>
      </c>
      <c r="D37" s="23">
        <v>0.63403157125285547</v>
      </c>
      <c r="E37" s="16">
        <v>0.37686206536789202</v>
      </c>
      <c r="F37" s="16">
        <v>5.8628072605889217E-2</v>
      </c>
      <c r="G37" s="16">
        <v>6.449549602273473E-2</v>
      </c>
      <c r="H37" s="16">
        <v>0.9381997978631974</v>
      </c>
      <c r="I37" s="16">
        <v>0.49913521831288676</v>
      </c>
      <c r="J37" s="16">
        <v>2.6139860694167284E-3</v>
      </c>
      <c r="K37" s="16">
        <v>4.902587689150346E-5</v>
      </c>
      <c r="L37" s="16">
        <v>0.20580443842940857</v>
      </c>
      <c r="M37" s="16">
        <v>5.606906143734018E-6</v>
      </c>
      <c r="N37" s="16">
        <v>7.7634082196321232E-8</v>
      </c>
      <c r="O37" s="24"/>
      <c r="P37" s="17">
        <v>2.0895948070032914E-10</v>
      </c>
      <c r="Q37" s="2"/>
    </row>
    <row r="38" spans="1:17" x14ac:dyDescent="0.35">
      <c r="A38" s="13"/>
      <c r="B38" s="18"/>
      <c r="C38" s="19" t="s">
        <v>18</v>
      </c>
      <c r="D38" s="20">
        <v>50</v>
      </c>
      <c r="E38" s="21">
        <v>50</v>
      </c>
      <c r="F38" s="21">
        <v>50</v>
      </c>
      <c r="G38" s="21">
        <v>50</v>
      </c>
      <c r="H38" s="21">
        <v>50</v>
      </c>
      <c r="I38" s="21">
        <v>50</v>
      </c>
      <c r="J38" s="21">
        <v>50</v>
      </c>
      <c r="K38" s="21">
        <v>50</v>
      </c>
      <c r="L38" s="21">
        <v>50</v>
      </c>
      <c r="M38" s="21">
        <v>50</v>
      </c>
      <c r="N38" s="21">
        <v>50</v>
      </c>
      <c r="O38" s="21">
        <v>50</v>
      </c>
      <c r="P38" s="22">
        <v>50</v>
      </c>
      <c r="Q38" s="2"/>
    </row>
    <row r="39" spans="1:17" ht="34.5" x14ac:dyDescent="0.35">
      <c r="A39" s="13"/>
      <c r="B39" s="18" t="s">
        <v>14</v>
      </c>
      <c r="C39" s="14" t="s">
        <v>16</v>
      </c>
      <c r="D39" s="23">
        <v>0.10650884289972166</v>
      </c>
      <c r="E39" s="16">
        <v>-0.11697752872002817</v>
      </c>
      <c r="F39" s="16">
        <v>-0.12402682673755538</v>
      </c>
      <c r="G39" s="24" t="s">
        <v>30</v>
      </c>
      <c r="H39" s="16">
        <v>-3.125733974797585E-2</v>
      </c>
      <c r="I39" s="16">
        <v>6.3397310676494484E-2</v>
      </c>
      <c r="J39" s="24" t="s">
        <v>36</v>
      </c>
      <c r="K39" s="24" t="s">
        <v>40</v>
      </c>
      <c r="L39" s="16">
        <v>8.8860191515558254E-3</v>
      </c>
      <c r="M39" s="24" t="s">
        <v>43</v>
      </c>
      <c r="N39" s="24" t="s">
        <v>45</v>
      </c>
      <c r="O39" s="24" t="s">
        <v>46</v>
      </c>
      <c r="P39" s="17">
        <v>1</v>
      </c>
      <c r="Q39" s="2"/>
    </row>
    <row r="40" spans="1:17" ht="23" x14ac:dyDescent="0.35">
      <c r="A40" s="13"/>
      <c r="B40" s="13"/>
      <c r="C40" s="14" t="s">
        <v>17</v>
      </c>
      <c r="D40" s="23">
        <v>0.46162096429404631</v>
      </c>
      <c r="E40" s="16">
        <v>0.41850484869589599</v>
      </c>
      <c r="F40" s="16">
        <v>0.39081491660969969</v>
      </c>
      <c r="G40" s="16">
        <v>3.8667254385435132E-3</v>
      </c>
      <c r="H40" s="16">
        <v>0.82938916346435143</v>
      </c>
      <c r="I40" s="16">
        <v>0.66182948570053513</v>
      </c>
      <c r="J40" s="16">
        <v>7.1034920257504776E-4</v>
      </c>
      <c r="K40" s="16">
        <v>1.6599754770625416E-4</v>
      </c>
      <c r="L40" s="16">
        <v>0.95116363998009856</v>
      </c>
      <c r="M40" s="16">
        <v>3.0554165052466054E-8</v>
      </c>
      <c r="N40" s="16">
        <v>3.4563580486555506E-10</v>
      </c>
      <c r="O40" s="16">
        <v>2.0895948070032914E-10</v>
      </c>
      <c r="P40" s="25"/>
      <c r="Q40" s="2"/>
    </row>
    <row r="41" spans="1:17" x14ac:dyDescent="0.35">
      <c r="A41" s="26"/>
      <c r="B41" s="26"/>
      <c r="C41" s="27" t="s">
        <v>18</v>
      </c>
      <c r="D41" s="28">
        <v>50</v>
      </c>
      <c r="E41" s="29">
        <v>50</v>
      </c>
      <c r="F41" s="29">
        <v>50</v>
      </c>
      <c r="G41" s="29">
        <v>50</v>
      </c>
      <c r="H41" s="29">
        <v>50</v>
      </c>
      <c r="I41" s="29">
        <v>50</v>
      </c>
      <c r="J41" s="29">
        <v>50</v>
      </c>
      <c r="K41" s="29">
        <v>50</v>
      </c>
      <c r="L41" s="29">
        <v>50</v>
      </c>
      <c r="M41" s="29">
        <v>50</v>
      </c>
      <c r="N41" s="29">
        <v>50</v>
      </c>
      <c r="O41" s="29">
        <v>50</v>
      </c>
      <c r="P41" s="30">
        <v>50</v>
      </c>
      <c r="Q41" s="2"/>
    </row>
    <row r="42" spans="1:17" x14ac:dyDescent="0.35">
      <c r="A42" s="31" t="s">
        <v>19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2"/>
    </row>
    <row r="43" spans="1:17" x14ac:dyDescent="0.35">
      <c r="A43" s="31" t="s">
        <v>20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2"/>
    </row>
  </sheetData>
  <mergeCells count="18">
    <mergeCell ref="A42:P42"/>
    <mergeCell ref="A43:P43"/>
    <mergeCell ref="B24:B26"/>
    <mergeCell ref="B27:B29"/>
    <mergeCell ref="B30:B32"/>
    <mergeCell ref="B33:B35"/>
    <mergeCell ref="B36:B38"/>
    <mergeCell ref="B39:B41"/>
    <mergeCell ref="A1:P1"/>
    <mergeCell ref="A2:C2"/>
    <mergeCell ref="A3:A41"/>
    <mergeCell ref="B3:B5"/>
    <mergeCell ref="B6:B8"/>
    <mergeCell ref="B9:B11"/>
    <mergeCell ref="B12:B14"/>
    <mergeCell ref="B15:B17"/>
    <mergeCell ref="B18:B20"/>
    <mergeCell ref="B21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4946-BFA9-4331-AA01-0BF0523B9A9F}">
  <dimension ref="A1:AE14"/>
  <sheetViews>
    <sheetView tabSelected="1" workbookViewId="0">
      <selection activeCell="K5" sqref="K5"/>
    </sheetView>
  </sheetViews>
  <sheetFormatPr defaultRowHeight="14.5" x14ac:dyDescent="0.35"/>
  <cols>
    <col min="19" max="31" width="12.36328125" bestFit="1" customWidth="1"/>
  </cols>
  <sheetData>
    <row r="1" spans="1:31" ht="35.5" x14ac:dyDescent="0.35">
      <c r="A1" s="3" t="s">
        <v>0</v>
      </c>
      <c r="B1" s="3"/>
      <c r="C1" s="3"/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S1" s="4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6" t="s">
        <v>14</v>
      </c>
    </row>
    <row r="2" spans="1:31" ht="34.5" x14ac:dyDescent="0.35">
      <c r="A2" s="7" t="s">
        <v>15</v>
      </c>
      <c r="B2" s="32" t="s">
        <v>2</v>
      </c>
      <c r="C2" s="8" t="s">
        <v>16</v>
      </c>
      <c r="D2" s="9">
        <v>1</v>
      </c>
      <c r="E2" s="10">
        <v>0.16230068887120316</v>
      </c>
      <c r="F2" s="10">
        <v>0.13448116935760407</v>
      </c>
      <c r="G2" s="11">
        <v>0.29299999999999998</v>
      </c>
      <c r="H2" s="10">
        <v>0.27533329945841672</v>
      </c>
      <c r="I2" s="11">
        <v>0.41799999999999998</v>
      </c>
      <c r="J2" s="10">
        <v>1.2225560850691279E-2</v>
      </c>
      <c r="K2" s="10">
        <v>0.17250657514601886</v>
      </c>
      <c r="L2" s="10">
        <v>0.24933827355718843</v>
      </c>
      <c r="M2" s="10">
        <v>0.19863741735439361</v>
      </c>
      <c r="N2" s="10">
        <v>0.18717922476854695</v>
      </c>
      <c r="O2" s="10">
        <v>6.8989697158036739E-2</v>
      </c>
      <c r="P2" s="12">
        <v>0.10650884289972166</v>
      </c>
      <c r="R2" s="4" t="s">
        <v>2</v>
      </c>
      <c r="S2" t="str">
        <f>IF(D2&lt;0.25,"Sangat Lemah",IF(D2&lt;0.5,"Cukup",IF(D2&lt;0.75,"Kuat",IF(D2&lt;0.99,"Sangat Kuat","Sempurna"))))</f>
        <v>Sempurna</v>
      </c>
      <c r="T2" t="str">
        <f t="shared" ref="T2:AE2" si="0">IF(E2&lt;0.25,"Sangat Lemah",IF(E2&lt;0.5,"Cukup",IF(E2&lt;0.75,"Kuat",IF(E2&lt;0.99,"Sangat Kuat","Sempurna"))))</f>
        <v>Sangat Lemah</v>
      </c>
      <c r="U2" t="str">
        <f t="shared" si="0"/>
        <v>Sangat Lemah</v>
      </c>
      <c r="V2" t="str">
        <f t="shared" si="0"/>
        <v>Cukup</v>
      </c>
      <c r="W2" t="str">
        <f t="shared" si="0"/>
        <v>Cukup</v>
      </c>
      <c r="X2" t="str">
        <f t="shared" si="0"/>
        <v>Cukup</v>
      </c>
      <c r="Y2" t="str">
        <f t="shared" si="0"/>
        <v>Sangat Lemah</v>
      </c>
      <c r="Z2" t="str">
        <f t="shared" si="0"/>
        <v>Sangat Lemah</v>
      </c>
      <c r="AA2" t="str">
        <f t="shared" si="0"/>
        <v>Sangat Lemah</v>
      </c>
      <c r="AB2" t="str">
        <f t="shared" si="0"/>
        <v>Sangat Lemah</v>
      </c>
      <c r="AC2" t="str">
        <f t="shared" si="0"/>
        <v>Sangat Lemah</v>
      </c>
      <c r="AD2" t="str">
        <f t="shared" si="0"/>
        <v>Sangat Lemah</v>
      </c>
      <c r="AE2" t="str">
        <f t="shared" si="0"/>
        <v>Sangat Lemah</v>
      </c>
    </row>
    <row r="3" spans="1:31" ht="35.5" x14ac:dyDescent="0.35">
      <c r="A3" s="13"/>
      <c r="B3" s="19" t="s">
        <v>3</v>
      </c>
      <c r="C3" s="14" t="s">
        <v>16</v>
      </c>
      <c r="D3" s="23">
        <v>0.16230068887120316</v>
      </c>
      <c r="E3" s="16">
        <v>1</v>
      </c>
      <c r="F3" s="16">
        <v>0.12753711910188553</v>
      </c>
      <c r="G3" s="24">
        <v>0.29099999999999998</v>
      </c>
      <c r="H3" s="16">
        <v>2.8559587540023086E-2</v>
      </c>
      <c r="I3" s="24">
        <v>0.29499999999999998</v>
      </c>
      <c r="J3" s="16">
        <v>0.15913154178848898</v>
      </c>
      <c r="K3" s="16">
        <v>0.14341926198055832</v>
      </c>
      <c r="L3" s="16">
        <v>-0.15050252557722332</v>
      </c>
      <c r="M3" s="16">
        <v>0.17136951096910175</v>
      </c>
      <c r="N3" s="16">
        <v>-3.696987145669902E-2</v>
      </c>
      <c r="O3" s="16">
        <v>-0.12769001750115963</v>
      </c>
      <c r="P3" s="17">
        <v>-0.11697752872002817</v>
      </c>
      <c r="R3" s="5" t="s">
        <v>3</v>
      </c>
      <c r="S3" t="str">
        <f t="shared" ref="S3:S14" si="1">IF(D3&lt;0.25,"Sangat Lemah",IF(D3&lt;0.5,"Cukup",IF(D3&lt;0.75,"Kuat",IF(D3&lt;0.99,"Sangat Kuat","Sempurna"))))</f>
        <v>Sangat Lemah</v>
      </c>
      <c r="T3" t="str">
        <f t="shared" ref="T3:T14" si="2">IF(E3&lt;0.25,"Sangat Lemah",IF(E3&lt;0.5,"Cukup",IF(E3&lt;0.75,"Kuat",IF(E3&lt;0.99,"Sangat Kuat","Sempurna"))))</f>
        <v>Sempurna</v>
      </c>
      <c r="U3" t="str">
        <f t="shared" ref="U3:U14" si="3">IF(F3&lt;0.25,"Sangat Lemah",IF(F3&lt;0.5,"Cukup",IF(F3&lt;0.75,"Kuat",IF(F3&lt;0.99,"Sangat Kuat","Sempurna"))))</f>
        <v>Sangat Lemah</v>
      </c>
      <c r="V3" t="str">
        <f t="shared" ref="V3:V14" si="4">IF(G3&lt;0.25,"Sangat Lemah",IF(G3&lt;0.5,"Cukup",IF(G3&lt;0.75,"Kuat",IF(G3&lt;0.99,"Sangat Kuat","Sempurna"))))</f>
        <v>Cukup</v>
      </c>
      <c r="W3" t="str">
        <f t="shared" ref="W3:W14" si="5">IF(H3&lt;0.25,"Sangat Lemah",IF(H3&lt;0.5,"Cukup",IF(H3&lt;0.75,"Kuat",IF(H3&lt;0.99,"Sangat Kuat","Sempurna"))))</f>
        <v>Sangat Lemah</v>
      </c>
      <c r="X3" t="str">
        <f t="shared" ref="X3:X14" si="6">IF(I3&lt;0.25,"Sangat Lemah",IF(I3&lt;0.5,"Cukup",IF(I3&lt;0.75,"Kuat",IF(I3&lt;0.99,"Sangat Kuat","Sempurna"))))</f>
        <v>Cukup</v>
      </c>
      <c r="Y3" t="str">
        <f t="shared" ref="Y3:Y14" si="7">IF(J3&lt;0.25,"Sangat Lemah",IF(J3&lt;0.5,"Cukup",IF(J3&lt;0.75,"Kuat",IF(J3&lt;0.99,"Sangat Kuat","Sempurna"))))</f>
        <v>Sangat Lemah</v>
      </c>
      <c r="Z3" t="str">
        <f t="shared" ref="Z3:Z14" si="8">IF(K3&lt;0.25,"Sangat Lemah",IF(K3&lt;0.5,"Cukup",IF(K3&lt;0.75,"Kuat",IF(K3&lt;0.99,"Sangat Kuat","Sempurna"))))</f>
        <v>Sangat Lemah</v>
      </c>
      <c r="AA3" t="str">
        <f t="shared" ref="AA3:AA14" si="9">IF(L3&lt;0.25,"Sangat Lemah",IF(L3&lt;0.5,"Cukup",IF(L3&lt;0.75,"Kuat",IF(L3&lt;0.99,"Sangat Kuat","Sempurna"))))</f>
        <v>Sangat Lemah</v>
      </c>
      <c r="AB3" t="str">
        <f t="shared" ref="AB3:AB14" si="10">IF(M3&lt;0.25,"Sangat Lemah",IF(M3&lt;0.5,"Cukup",IF(M3&lt;0.75,"Kuat",IF(M3&lt;0.99,"Sangat Kuat","Sempurna"))))</f>
        <v>Sangat Lemah</v>
      </c>
      <c r="AC3" t="str">
        <f t="shared" ref="AC3:AC14" si="11">IF(N3&lt;0.25,"Sangat Lemah",IF(N3&lt;0.5,"Cukup",IF(N3&lt;0.75,"Kuat",IF(N3&lt;0.99,"Sangat Kuat","Sempurna"))))</f>
        <v>Sangat Lemah</v>
      </c>
      <c r="AD3" t="str">
        <f t="shared" ref="AD3:AD14" si="12">IF(O3&lt;0.25,"Sangat Lemah",IF(O3&lt;0.5,"Cukup",IF(O3&lt;0.75,"Kuat",IF(O3&lt;0.99,"Sangat Kuat","Sempurna"))))</f>
        <v>Sangat Lemah</v>
      </c>
      <c r="AE3" t="str">
        <f t="shared" ref="AE3:AE14" si="13">IF(P3&lt;0.25,"Sangat Lemah",IF(P3&lt;0.5,"Cukup",IF(P3&lt;0.75,"Kuat",IF(P3&lt;0.99,"Sangat Kuat","Sempurna"))))</f>
        <v>Sangat Lemah</v>
      </c>
    </row>
    <row r="4" spans="1:31" ht="34.5" x14ac:dyDescent="0.35">
      <c r="A4" s="13"/>
      <c r="B4" s="19" t="s">
        <v>4</v>
      </c>
      <c r="C4" s="14" t="s">
        <v>16</v>
      </c>
      <c r="D4" s="23">
        <v>0.13448116935760407</v>
      </c>
      <c r="E4" s="16">
        <v>0.12753711910188553</v>
      </c>
      <c r="F4" s="16">
        <v>1</v>
      </c>
      <c r="G4" s="16">
        <v>-3.2094005492436323E-2</v>
      </c>
      <c r="H4" s="16">
        <v>-8.8226394891129184E-2</v>
      </c>
      <c r="I4" s="16">
        <v>0.1462382642688109</v>
      </c>
      <c r="J4" s="16">
        <v>-7.0663153271848925E-2</v>
      </c>
      <c r="K4" s="16">
        <v>-7.067378371508555E-2</v>
      </c>
      <c r="L4" s="16">
        <v>-3.4441073399757896E-2</v>
      </c>
      <c r="M4" s="16">
        <v>-0.22205799794017839</v>
      </c>
      <c r="N4" s="16">
        <v>-4.73789879901532E-2</v>
      </c>
      <c r="O4" s="16">
        <v>-0.26927177701830218</v>
      </c>
      <c r="P4" s="17">
        <v>-0.12402682673755538</v>
      </c>
      <c r="R4" s="5" t="s">
        <v>4</v>
      </c>
      <c r="S4" t="str">
        <f t="shared" si="1"/>
        <v>Sangat Lemah</v>
      </c>
      <c r="T4" t="str">
        <f t="shared" si="2"/>
        <v>Sangat Lemah</v>
      </c>
      <c r="U4" t="str">
        <f t="shared" si="3"/>
        <v>Sempurna</v>
      </c>
      <c r="V4" t="str">
        <f t="shared" si="4"/>
        <v>Sangat Lemah</v>
      </c>
      <c r="W4" t="str">
        <f t="shared" si="5"/>
        <v>Sangat Lemah</v>
      </c>
      <c r="X4" t="str">
        <f t="shared" si="6"/>
        <v>Sangat Lemah</v>
      </c>
      <c r="Y4" t="str">
        <f t="shared" si="7"/>
        <v>Sangat Lemah</v>
      </c>
      <c r="Z4" t="str">
        <f t="shared" si="8"/>
        <v>Sangat Lemah</v>
      </c>
      <c r="AA4" t="str">
        <f t="shared" si="9"/>
        <v>Sangat Lemah</v>
      </c>
      <c r="AB4" t="str">
        <f t="shared" si="10"/>
        <v>Sangat Lemah</v>
      </c>
      <c r="AC4" t="str">
        <f t="shared" si="11"/>
        <v>Sangat Lemah</v>
      </c>
      <c r="AD4" t="str">
        <f t="shared" si="12"/>
        <v>Sangat Lemah</v>
      </c>
      <c r="AE4" t="str">
        <f t="shared" si="13"/>
        <v>Sangat Lemah</v>
      </c>
    </row>
    <row r="5" spans="1:31" ht="34.5" x14ac:dyDescent="0.35">
      <c r="A5" s="13"/>
      <c r="B5" s="19" t="s">
        <v>5</v>
      </c>
      <c r="C5" s="14" t="s">
        <v>16</v>
      </c>
      <c r="D5" s="15">
        <v>0.29299999999999998</v>
      </c>
      <c r="E5" s="24">
        <v>0.29099999999999998</v>
      </c>
      <c r="F5" s="16">
        <v>-3.2094005492436323E-2</v>
      </c>
      <c r="G5" s="16">
        <v>1</v>
      </c>
      <c r="H5" s="16">
        <v>0.2390858883345284</v>
      </c>
      <c r="I5" s="24">
        <v>0.46400000000000002</v>
      </c>
      <c r="J5" s="24">
        <v>0.503</v>
      </c>
      <c r="K5" s="24">
        <v>0.42599999999999999</v>
      </c>
      <c r="L5" s="16">
        <v>0.12548088202488511</v>
      </c>
      <c r="M5" s="24">
        <v>0.501</v>
      </c>
      <c r="N5" s="24">
        <v>0.28599999999999998</v>
      </c>
      <c r="O5" s="16">
        <v>0.26347444367735429</v>
      </c>
      <c r="P5" s="25">
        <v>0.40100000000000002</v>
      </c>
      <c r="R5" s="5" t="s">
        <v>5</v>
      </c>
      <c r="S5" t="str">
        <f t="shared" si="1"/>
        <v>Cukup</v>
      </c>
      <c r="T5" t="str">
        <f t="shared" si="2"/>
        <v>Cukup</v>
      </c>
      <c r="U5" t="str">
        <f t="shared" si="3"/>
        <v>Sangat Lemah</v>
      </c>
      <c r="V5" t="str">
        <f t="shared" si="4"/>
        <v>Sempurna</v>
      </c>
      <c r="W5" t="str">
        <f t="shared" si="5"/>
        <v>Sangat Lemah</v>
      </c>
      <c r="X5" t="str">
        <f t="shared" si="6"/>
        <v>Cukup</v>
      </c>
      <c r="Y5" t="str">
        <f t="shared" si="7"/>
        <v>Kuat</v>
      </c>
      <c r="Z5" t="str">
        <f t="shared" si="8"/>
        <v>Cukup</v>
      </c>
      <c r="AA5" t="str">
        <f t="shared" si="9"/>
        <v>Sangat Lemah</v>
      </c>
      <c r="AB5" t="str">
        <f t="shared" si="10"/>
        <v>Kuat</v>
      </c>
      <c r="AC5" t="str">
        <f t="shared" si="11"/>
        <v>Cukup</v>
      </c>
      <c r="AD5" t="str">
        <f t="shared" si="12"/>
        <v>Cukup</v>
      </c>
      <c r="AE5" t="str">
        <f t="shared" si="13"/>
        <v>Cukup</v>
      </c>
    </row>
    <row r="6" spans="1:31" ht="34.5" x14ac:dyDescent="0.35">
      <c r="A6" s="13"/>
      <c r="B6" s="19" t="s">
        <v>6</v>
      </c>
      <c r="C6" s="14" t="s">
        <v>16</v>
      </c>
      <c r="D6" s="23">
        <v>0.27533329945841672</v>
      </c>
      <c r="E6" s="16">
        <v>2.8559587540023086E-2</v>
      </c>
      <c r="F6" s="16">
        <v>-8.8226394891129184E-2</v>
      </c>
      <c r="G6" s="16">
        <v>0.2390858883345284</v>
      </c>
      <c r="H6" s="16">
        <v>1</v>
      </c>
      <c r="I6" s="16">
        <v>0.15347467373980658</v>
      </c>
      <c r="J6" s="16">
        <v>0.13866645419475221</v>
      </c>
      <c r="K6" s="16">
        <v>0.17770675494888197</v>
      </c>
      <c r="L6" s="16">
        <v>9.1472274905666784E-2</v>
      </c>
      <c r="M6" s="16">
        <v>0.10953753117754343</v>
      </c>
      <c r="N6" s="16">
        <v>0.11749012812475884</v>
      </c>
      <c r="O6" s="16">
        <v>-1.1248954959821757E-2</v>
      </c>
      <c r="P6" s="17">
        <v>-3.125733974797585E-2</v>
      </c>
      <c r="R6" s="5" t="s">
        <v>6</v>
      </c>
      <c r="S6" t="str">
        <f t="shared" si="1"/>
        <v>Cukup</v>
      </c>
      <c r="T6" t="str">
        <f t="shared" si="2"/>
        <v>Sangat Lemah</v>
      </c>
      <c r="U6" t="str">
        <f t="shared" si="3"/>
        <v>Sangat Lemah</v>
      </c>
      <c r="V6" t="str">
        <f t="shared" si="4"/>
        <v>Sangat Lemah</v>
      </c>
      <c r="W6" t="str">
        <f t="shared" si="5"/>
        <v>Sempurna</v>
      </c>
      <c r="X6" t="str">
        <f t="shared" si="6"/>
        <v>Sangat Lemah</v>
      </c>
      <c r="Y6" t="str">
        <f t="shared" si="7"/>
        <v>Sangat Lemah</v>
      </c>
      <c r="Z6" t="str">
        <f t="shared" si="8"/>
        <v>Sangat Lemah</v>
      </c>
      <c r="AA6" t="str">
        <f t="shared" si="9"/>
        <v>Sangat Lemah</v>
      </c>
      <c r="AB6" t="str">
        <f t="shared" si="10"/>
        <v>Sangat Lemah</v>
      </c>
      <c r="AC6" t="str">
        <f t="shared" si="11"/>
        <v>Sangat Lemah</v>
      </c>
      <c r="AD6" t="str">
        <f t="shared" si="12"/>
        <v>Sangat Lemah</v>
      </c>
      <c r="AE6" t="str">
        <f t="shared" si="13"/>
        <v>Sangat Lemah</v>
      </c>
    </row>
    <row r="7" spans="1:31" ht="35.5" x14ac:dyDescent="0.35">
      <c r="A7" s="13"/>
      <c r="B7" s="19" t="s">
        <v>7</v>
      </c>
      <c r="C7" s="14" t="s">
        <v>16</v>
      </c>
      <c r="D7" s="15">
        <v>0.41799999999999998</v>
      </c>
      <c r="E7" s="24">
        <v>0.29499999999999998</v>
      </c>
      <c r="F7" s="16">
        <v>0.1462382642688109</v>
      </c>
      <c r="G7" s="24">
        <v>0.46400000000000002</v>
      </c>
      <c r="H7" s="16">
        <v>0.15347467373980658</v>
      </c>
      <c r="I7" s="16">
        <v>1</v>
      </c>
      <c r="J7" s="24">
        <v>0.39300000000000002</v>
      </c>
      <c r="K7" s="16">
        <v>0.17869718185562777</v>
      </c>
      <c r="L7" s="16">
        <v>0.15412830356432133</v>
      </c>
      <c r="M7" s="24">
        <v>0.28799999999999998</v>
      </c>
      <c r="N7" s="16">
        <v>9.1804585467653452E-2</v>
      </c>
      <c r="O7" s="16">
        <v>9.7824391786686601E-2</v>
      </c>
      <c r="P7" s="17">
        <v>6.3397310676494484E-2</v>
      </c>
      <c r="R7" s="5" t="s">
        <v>7</v>
      </c>
      <c r="S7" t="str">
        <f t="shared" si="1"/>
        <v>Cukup</v>
      </c>
      <c r="T7" t="str">
        <f t="shared" si="2"/>
        <v>Cukup</v>
      </c>
      <c r="U7" t="str">
        <f t="shared" si="3"/>
        <v>Sangat Lemah</v>
      </c>
      <c r="V7" t="str">
        <f t="shared" si="4"/>
        <v>Cukup</v>
      </c>
      <c r="W7" t="str">
        <f t="shared" si="5"/>
        <v>Sangat Lemah</v>
      </c>
      <c r="X7" t="str">
        <f t="shared" si="6"/>
        <v>Sempurna</v>
      </c>
      <c r="Y7" t="str">
        <f t="shared" si="7"/>
        <v>Cukup</v>
      </c>
      <c r="Z7" t="str">
        <f t="shared" si="8"/>
        <v>Sangat Lemah</v>
      </c>
      <c r="AA7" t="str">
        <f t="shared" si="9"/>
        <v>Sangat Lemah</v>
      </c>
      <c r="AB7" t="str">
        <f t="shared" si="10"/>
        <v>Cukup</v>
      </c>
      <c r="AC7" t="str">
        <f t="shared" si="11"/>
        <v>Sangat Lemah</v>
      </c>
      <c r="AD7" t="str">
        <f t="shared" si="12"/>
        <v>Sangat Lemah</v>
      </c>
      <c r="AE7" t="str">
        <f t="shared" si="13"/>
        <v>Sangat Lemah</v>
      </c>
    </row>
    <row r="8" spans="1:31" ht="34.5" x14ac:dyDescent="0.35">
      <c r="A8" s="13"/>
      <c r="B8" s="19" t="s">
        <v>8</v>
      </c>
      <c r="C8" s="14" t="s">
        <v>16</v>
      </c>
      <c r="D8" s="23">
        <v>1.2225560850691279E-2</v>
      </c>
      <c r="E8" s="16">
        <v>0.15913154178848898</v>
      </c>
      <c r="F8" s="16">
        <v>-7.0663153271848925E-2</v>
      </c>
      <c r="G8" s="24">
        <v>0.503</v>
      </c>
      <c r="H8" s="16">
        <v>0.13866645419475221</v>
      </c>
      <c r="I8" s="24">
        <v>0.39300000000000002</v>
      </c>
      <c r="J8" s="16">
        <v>1</v>
      </c>
      <c r="K8" s="16">
        <v>0.26618461993021902</v>
      </c>
      <c r="L8" s="16">
        <v>0.11777582207253413</v>
      </c>
      <c r="M8" s="24" t="s">
        <v>47</v>
      </c>
      <c r="N8" s="24">
        <v>0.36199999999999999</v>
      </c>
      <c r="O8" s="24">
        <v>0.41699999999999998</v>
      </c>
      <c r="P8" s="25">
        <v>0.46300000000000002</v>
      </c>
      <c r="R8" s="5" t="s">
        <v>8</v>
      </c>
      <c r="S8" t="str">
        <f t="shared" si="1"/>
        <v>Sangat Lemah</v>
      </c>
      <c r="T8" t="str">
        <f t="shared" si="2"/>
        <v>Sangat Lemah</v>
      </c>
      <c r="U8" t="str">
        <f t="shared" si="3"/>
        <v>Sangat Lemah</v>
      </c>
      <c r="V8" t="str">
        <f t="shared" si="4"/>
        <v>Kuat</v>
      </c>
      <c r="W8" t="str">
        <f t="shared" si="5"/>
        <v>Sangat Lemah</v>
      </c>
      <c r="X8" t="str">
        <f t="shared" si="6"/>
        <v>Cukup</v>
      </c>
      <c r="Y8" t="str">
        <f t="shared" si="7"/>
        <v>Sempurna</v>
      </c>
      <c r="Z8" t="str">
        <f t="shared" si="8"/>
        <v>Cukup</v>
      </c>
      <c r="AA8" t="str">
        <f t="shared" si="9"/>
        <v>Sangat Lemah</v>
      </c>
      <c r="AB8" t="str">
        <f t="shared" si="10"/>
        <v>Sempurna</v>
      </c>
      <c r="AC8" t="str">
        <f t="shared" si="11"/>
        <v>Cukup</v>
      </c>
      <c r="AD8" t="str">
        <f t="shared" si="12"/>
        <v>Cukup</v>
      </c>
      <c r="AE8" t="str">
        <f t="shared" si="13"/>
        <v>Cukup</v>
      </c>
    </row>
    <row r="9" spans="1:31" ht="34.5" x14ac:dyDescent="0.35">
      <c r="A9" s="13"/>
      <c r="B9" s="19" t="s">
        <v>9</v>
      </c>
      <c r="C9" s="14" t="s">
        <v>16</v>
      </c>
      <c r="D9" s="23">
        <v>0.17250657514601886</v>
      </c>
      <c r="E9" s="16">
        <v>0.14341926198055832</v>
      </c>
      <c r="F9" s="16">
        <v>-7.067378371508555E-2</v>
      </c>
      <c r="G9" s="24">
        <v>0.42599999999999999</v>
      </c>
      <c r="H9" s="16">
        <v>0.17770675494888197</v>
      </c>
      <c r="I9" s="16">
        <v>0.17869718185562777</v>
      </c>
      <c r="J9" s="16">
        <v>0.26618461993021902</v>
      </c>
      <c r="K9" s="16">
        <v>1</v>
      </c>
      <c r="L9" s="16">
        <v>-0.13246680113028422</v>
      </c>
      <c r="M9" s="24">
        <v>0.58399999999999996</v>
      </c>
      <c r="N9" s="24">
        <v>0.59699999999999998</v>
      </c>
      <c r="O9" s="24">
        <v>0.54100000000000004</v>
      </c>
      <c r="P9" s="25">
        <v>0.50800000000000001</v>
      </c>
      <c r="R9" s="5" t="s">
        <v>9</v>
      </c>
      <c r="S9" t="str">
        <f t="shared" si="1"/>
        <v>Sangat Lemah</v>
      </c>
      <c r="T9" t="str">
        <f t="shared" si="2"/>
        <v>Sangat Lemah</v>
      </c>
      <c r="U9" t="str">
        <f t="shared" si="3"/>
        <v>Sangat Lemah</v>
      </c>
      <c r="V9" t="str">
        <f t="shared" si="4"/>
        <v>Cukup</v>
      </c>
      <c r="W9" t="str">
        <f t="shared" si="5"/>
        <v>Sangat Lemah</v>
      </c>
      <c r="X9" t="str">
        <f t="shared" si="6"/>
        <v>Sangat Lemah</v>
      </c>
      <c r="Y9" t="str">
        <f t="shared" si="7"/>
        <v>Cukup</v>
      </c>
      <c r="Z9" t="str">
        <f t="shared" si="8"/>
        <v>Sempurna</v>
      </c>
      <c r="AA9" t="str">
        <f t="shared" si="9"/>
        <v>Sangat Lemah</v>
      </c>
      <c r="AB9" t="str">
        <f t="shared" si="10"/>
        <v>Kuat</v>
      </c>
      <c r="AC9" t="str">
        <f t="shared" si="11"/>
        <v>Kuat</v>
      </c>
      <c r="AD9" t="str">
        <f t="shared" si="12"/>
        <v>Kuat</v>
      </c>
      <c r="AE9" t="str">
        <f t="shared" si="13"/>
        <v>Kuat</v>
      </c>
    </row>
    <row r="10" spans="1:31" ht="34.5" x14ac:dyDescent="0.35">
      <c r="A10" s="13"/>
      <c r="B10" s="19" t="s">
        <v>10</v>
      </c>
      <c r="C10" s="14" t="s">
        <v>16</v>
      </c>
      <c r="D10" s="23">
        <v>0.24933827355718843</v>
      </c>
      <c r="E10" s="16">
        <v>-0.15050252557722332</v>
      </c>
      <c r="F10" s="16">
        <v>-3.4441073399757896E-2</v>
      </c>
      <c r="G10" s="16">
        <v>0.12548088202488511</v>
      </c>
      <c r="H10" s="16">
        <v>9.1472274905666784E-2</v>
      </c>
      <c r="I10" s="16">
        <v>0.15412830356432133</v>
      </c>
      <c r="J10" s="16">
        <v>0.11777582207253413</v>
      </c>
      <c r="K10" s="16">
        <v>-0.13246680113028422</v>
      </c>
      <c r="L10" s="16">
        <v>1</v>
      </c>
      <c r="M10" s="16">
        <v>4.857396618216709E-2</v>
      </c>
      <c r="N10" s="16">
        <v>-0.18212013941950048</v>
      </c>
      <c r="O10" s="16">
        <v>0.1820292228368037</v>
      </c>
      <c r="P10" s="17">
        <v>8.8860191515558254E-3</v>
      </c>
      <c r="R10" s="5" t="s">
        <v>10</v>
      </c>
      <c r="S10" t="str">
        <f t="shared" si="1"/>
        <v>Sangat Lemah</v>
      </c>
      <c r="T10" t="str">
        <f t="shared" si="2"/>
        <v>Sangat Lemah</v>
      </c>
      <c r="U10" t="str">
        <f t="shared" si="3"/>
        <v>Sangat Lemah</v>
      </c>
      <c r="V10" t="str">
        <f t="shared" si="4"/>
        <v>Sangat Lemah</v>
      </c>
      <c r="W10" t="str">
        <f t="shared" si="5"/>
        <v>Sangat Lemah</v>
      </c>
      <c r="X10" t="str">
        <f t="shared" si="6"/>
        <v>Sangat Lemah</v>
      </c>
      <c r="Y10" t="str">
        <f t="shared" si="7"/>
        <v>Sangat Lemah</v>
      </c>
      <c r="Z10" t="str">
        <f t="shared" si="8"/>
        <v>Sangat Lemah</v>
      </c>
      <c r="AA10" t="str">
        <f t="shared" si="9"/>
        <v>Sempurna</v>
      </c>
      <c r="AB10" t="str">
        <f t="shared" si="10"/>
        <v>Sangat Lemah</v>
      </c>
      <c r="AC10" t="str">
        <f t="shared" si="11"/>
        <v>Sangat Lemah</v>
      </c>
      <c r="AD10" t="str">
        <f t="shared" si="12"/>
        <v>Sangat Lemah</v>
      </c>
      <c r="AE10" t="str">
        <f t="shared" si="13"/>
        <v>Sangat Lemah</v>
      </c>
    </row>
    <row r="11" spans="1:31" ht="35.5" x14ac:dyDescent="0.35">
      <c r="A11" s="13"/>
      <c r="B11" s="19" t="s">
        <v>11</v>
      </c>
      <c r="C11" s="14" t="s">
        <v>16</v>
      </c>
      <c r="D11" s="23">
        <v>0.19863741735439361</v>
      </c>
      <c r="E11" s="16">
        <v>0.17136951096910175</v>
      </c>
      <c r="F11" s="16">
        <v>-0.22205799794017839</v>
      </c>
      <c r="G11" s="24">
        <v>0.501</v>
      </c>
      <c r="H11" s="16">
        <v>0.10953753117754343</v>
      </c>
      <c r="I11" s="24">
        <v>0.28799999999999998</v>
      </c>
      <c r="J11" s="24">
        <v>0.35699999999999998</v>
      </c>
      <c r="K11" s="24">
        <v>0.58399999999999996</v>
      </c>
      <c r="L11" s="16">
        <v>4.857396618216709E-2</v>
      </c>
      <c r="M11" s="16">
        <v>1</v>
      </c>
      <c r="N11" s="24">
        <v>0.69899999999999995</v>
      </c>
      <c r="O11" s="24">
        <v>0.59299999999999997</v>
      </c>
      <c r="P11" s="25">
        <v>0.69</v>
      </c>
      <c r="R11" s="5" t="s">
        <v>11</v>
      </c>
      <c r="S11" t="str">
        <f t="shared" si="1"/>
        <v>Sangat Lemah</v>
      </c>
      <c r="T11" t="str">
        <f t="shared" si="2"/>
        <v>Sangat Lemah</v>
      </c>
      <c r="U11" t="str">
        <f t="shared" si="3"/>
        <v>Sangat Lemah</v>
      </c>
      <c r="V11" t="str">
        <f t="shared" si="4"/>
        <v>Kuat</v>
      </c>
      <c r="W11" t="str">
        <f t="shared" si="5"/>
        <v>Sangat Lemah</v>
      </c>
      <c r="X11" t="str">
        <f t="shared" si="6"/>
        <v>Cukup</v>
      </c>
      <c r="Y11" t="str">
        <f t="shared" si="7"/>
        <v>Cukup</v>
      </c>
      <c r="Z11" t="str">
        <f t="shared" si="8"/>
        <v>Kuat</v>
      </c>
      <c r="AA11" t="str">
        <f t="shared" si="9"/>
        <v>Sangat Lemah</v>
      </c>
      <c r="AB11" t="str">
        <f t="shared" si="10"/>
        <v>Sempurna</v>
      </c>
      <c r="AC11" t="str">
        <f t="shared" si="11"/>
        <v>Kuat</v>
      </c>
      <c r="AD11" t="str">
        <f t="shared" si="12"/>
        <v>Kuat</v>
      </c>
      <c r="AE11" t="str">
        <f t="shared" si="13"/>
        <v>Kuat</v>
      </c>
    </row>
    <row r="12" spans="1:31" ht="34.5" x14ac:dyDescent="0.35">
      <c r="A12" s="13"/>
      <c r="B12" s="19" t="s">
        <v>12</v>
      </c>
      <c r="C12" s="14" t="s">
        <v>16</v>
      </c>
      <c r="D12" s="23">
        <v>0.18717922476854695</v>
      </c>
      <c r="E12" s="16">
        <v>-3.696987145669902E-2</v>
      </c>
      <c r="F12" s="16">
        <v>-4.73789879901532E-2</v>
      </c>
      <c r="G12" s="24">
        <v>0.28599999999999998</v>
      </c>
      <c r="H12" s="16">
        <v>0.11749012812475884</v>
      </c>
      <c r="I12" s="16">
        <v>9.1804585467653452E-2</v>
      </c>
      <c r="J12" s="24">
        <v>0.36199999999999999</v>
      </c>
      <c r="K12" s="24">
        <v>0.59699999999999998</v>
      </c>
      <c r="L12" s="16">
        <v>-0.18212013941950048</v>
      </c>
      <c r="M12" s="24">
        <v>0.69899999999999995</v>
      </c>
      <c r="N12" s="16">
        <v>1</v>
      </c>
      <c r="O12" s="24">
        <v>0.67500000000000004</v>
      </c>
      <c r="P12" s="25">
        <v>0.751</v>
      </c>
      <c r="R12" s="5" t="s">
        <v>12</v>
      </c>
      <c r="S12" t="str">
        <f t="shared" si="1"/>
        <v>Sangat Lemah</v>
      </c>
      <c r="T12" t="str">
        <f t="shared" si="2"/>
        <v>Sangat Lemah</v>
      </c>
      <c r="U12" t="str">
        <f t="shared" si="3"/>
        <v>Sangat Lemah</v>
      </c>
      <c r="V12" t="str">
        <f t="shared" si="4"/>
        <v>Cukup</v>
      </c>
      <c r="W12" t="str">
        <f t="shared" si="5"/>
        <v>Sangat Lemah</v>
      </c>
      <c r="X12" t="str">
        <f t="shared" si="6"/>
        <v>Sangat Lemah</v>
      </c>
      <c r="Y12" t="str">
        <f t="shared" si="7"/>
        <v>Cukup</v>
      </c>
      <c r="Z12" t="str">
        <f t="shared" si="8"/>
        <v>Kuat</v>
      </c>
      <c r="AA12" t="str">
        <f t="shared" si="9"/>
        <v>Sangat Lemah</v>
      </c>
      <c r="AB12" t="str">
        <f t="shared" si="10"/>
        <v>Kuat</v>
      </c>
      <c r="AC12" t="str">
        <f t="shared" si="11"/>
        <v>Sempurna</v>
      </c>
      <c r="AD12" t="str">
        <f t="shared" si="12"/>
        <v>Kuat</v>
      </c>
      <c r="AE12" t="str">
        <f t="shared" si="13"/>
        <v>Sangat Kuat</v>
      </c>
    </row>
    <row r="13" spans="1:31" ht="34.5" x14ac:dyDescent="0.35">
      <c r="A13" s="13"/>
      <c r="B13" s="19" t="s">
        <v>13</v>
      </c>
      <c r="C13" s="14" t="s">
        <v>16</v>
      </c>
      <c r="D13" s="23">
        <v>6.8989697158036739E-2</v>
      </c>
      <c r="E13" s="16">
        <v>-0.12769001750115963</v>
      </c>
      <c r="F13" s="16">
        <v>-0.26927177701830218</v>
      </c>
      <c r="G13" s="16">
        <v>0.26347444367735429</v>
      </c>
      <c r="H13" s="16">
        <v>-1.1248954959821757E-2</v>
      </c>
      <c r="I13" s="16">
        <v>9.7824391786686601E-2</v>
      </c>
      <c r="J13" s="24">
        <v>0.41699999999999998</v>
      </c>
      <c r="K13" s="24">
        <v>0.54100000000000004</v>
      </c>
      <c r="L13" s="16">
        <v>0.1820292228368037</v>
      </c>
      <c r="M13" s="24">
        <v>0.59299999999999997</v>
      </c>
      <c r="N13" s="24">
        <v>0.67500000000000004</v>
      </c>
      <c r="O13" s="16">
        <v>1</v>
      </c>
      <c r="P13" s="25">
        <v>0.75700000000000001</v>
      </c>
      <c r="R13" s="5" t="s">
        <v>13</v>
      </c>
      <c r="S13" t="str">
        <f t="shared" si="1"/>
        <v>Sangat Lemah</v>
      </c>
      <c r="T13" t="str">
        <f t="shared" si="2"/>
        <v>Sangat Lemah</v>
      </c>
      <c r="U13" t="str">
        <f t="shared" si="3"/>
        <v>Sangat Lemah</v>
      </c>
      <c r="V13" t="str">
        <f t="shared" si="4"/>
        <v>Cukup</v>
      </c>
      <c r="W13" t="str">
        <f t="shared" si="5"/>
        <v>Sangat Lemah</v>
      </c>
      <c r="X13" t="str">
        <f t="shared" si="6"/>
        <v>Sangat Lemah</v>
      </c>
      <c r="Y13" t="str">
        <f t="shared" si="7"/>
        <v>Cukup</v>
      </c>
      <c r="Z13" t="str">
        <f t="shared" si="8"/>
        <v>Kuat</v>
      </c>
      <c r="AA13" t="str">
        <f t="shared" si="9"/>
        <v>Sangat Lemah</v>
      </c>
      <c r="AB13" t="str">
        <f t="shared" si="10"/>
        <v>Kuat</v>
      </c>
      <c r="AC13" t="str">
        <f t="shared" si="11"/>
        <v>Kuat</v>
      </c>
      <c r="AD13" t="str">
        <f t="shared" si="12"/>
        <v>Sempurna</v>
      </c>
      <c r="AE13" t="str">
        <f t="shared" si="13"/>
        <v>Sangat Kuat</v>
      </c>
    </row>
    <row r="14" spans="1:31" ht="34.5" x14ac:dyDescent="0.35">
      <c r="A14" s="13"/>
      <c r="B14" s="19" t="s">
        <v>14</v>
      </c>
      <c r="C14" s="14" t="s">
        <v>16</v>
      </c>
      <c r="D14" s="23">
        <v>0.10650884289972166</v>
      </c>
      <c r="E14" s="16">
        <v>-0.11697752872002817</v>
      </c>
      <c r="F14" s="16">
        <v>-0.12402682673755538</v>
      </c>
      <c r="G14" s="24">
        <v>0.40100000000000002</v>
      </c>
      <c r="H14" s="16">
        <v>-3.125733974797585E-2</v>
      </c>
      <c r="I14" s="16">
        <v>6.3397310676494484E-2</v>
      </c>
      <c r="J14" s="24">
        <v>0.46300000000000002</v>
      </c>
      <c r="K14" s="24">
        <v>0.50800000000000001</v>
      </c>
      <c r="L14" s="16">
        <v>8.8860191515558254E-3</v>
      </c>
      <c r="M14" s="24">
        <v>0.69</v>
      </c>
      <c r="N14" s="24">
        <v>0.751</v>
      </c>
      <c r="O14" s="24">
        <v>0.75700000000000001</v>
      </c>
      <c r="P14" s="17">
        <v>1</v>
      </c>
      <c r="R14" s="6" t="s">
        <v>14</v>
      </c>
      <c r="S14" t="str">
        <f t="shared" si="1"/>
        <v>Sangat Lemah</v>
      </c>
      <c r="T14" t="str">
        <f t="shared" si="2"/>
        <v>Sangat Lemah</v>
      </c>
      <c r="U14" t="str">
        <f t="shared" si="3"/>
        <v>Sangat Lemah</v>
      </c>
      <c r="V14" t="str">
        <f t="shared" si="4"/>
        <v>Cukup</v>
      </c>
      <c r="W14" t="str">
        <f t="shared" si="5"/>
        <v>Sangat Lemah</v>
      </c>
      <c r="X14" t="str">
        <f t="shared" si="6"/>
        <v>Sangat Lemah</v>
      </c>
      <c r="Y14" t="str">
        <f t="shared" si="7"/>
        <v>Cukup</v>
      </c>
      <c r="Z14" t="str">
        <f t="shared" si="8"/>
        <v>Kuat</v>
      </c>
      <c r="AA14" t="str">
        <f t="shared" si="9"/>
        <v>Sangat Lemah</v>
      </c>
      <c r="AB14" t="str">
        <f t="shared" si="10"/>
        <v>Kuat</v>
      </c>
      <c r="AC14" t="str">
        <f t="shared" si="11"/>
        <v>Sangat Kuat</v>
      </c>
      <c r="AD14" t="str">
        <f t="shared" si="12"/>
        <v>Sangat Kuat</v>
      </c>
      <c r="AE14" t="str">
        <f t="shared" si="13"/>
        <v>Sempurna</v>
      </c>
    </row>
  </sheetData>
  <mergeCells count="2">
    <mergeCell ref="A1:C1"/>
    <mergeCell ref="A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EE63-AC85-4CD9-9418-587FE908C553}">
  <dimension ref="A1:AE14"/>
  <sheetViews>
    <sheetView topLeftCell="Q1" workbookViewId="0">
      <selection activeCell="H12" sqref="H12"/>
    </sheetView>
  </sheetViews>
  <sheetFormatPr defaultRowHeight="14.5" x14ac:dyDescent="0.35"/>
  <sheetData>
    <row r="1" spans="1:31" ht="35.5" x14ac:dyDescent="0.35">
      <c r="A1" s="3" t="s">
        <v>0</v>
      </c>
      <c r="B1" s="3"/>
      <c r="C1" s="3"/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S1" s="4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6" t="s">
        <v>14</v>
      </c>
    </row>
    <row r="2" spans="1:31" ht="24" x14ac:dyDescent="0.35">
      <c r="A2" s="13"/>
      <c r="B2" s="14"/>
      <c r="C2" s="14" t="s">
        <v>17</v>
      </c>
      <c r="D2" s="15"/>
      <c r="E2" s="16">
        <v>0.26012406219021944</v>
      </c>
      <c r="F2" s="16">
        <v>0.35179519572217988</v>
      </c>
      <c r="G2" s="16">
        <v>3.8705801088972126E-2</v>
      </c>
      <c r="H2" s="16">
        <v>5.2960294969276331E-2</v>
      </c>
      <c r="I2" s="16">
        <v>2.5304948287282166E-3</v>
      </c>
      <c r="J2" s="16">
        <v>0.93284625525742459</v>
      </c>
      <c r="K2" s="16">
        <v>0.23093290826608495</v>
      </c>
      <c r="L2" s="16">
        <v>8.0777836749110946E-2</v>
      </c>
      <c r="M2" s="16">
        <v>0.1667024679828695</v>
      </c>
      <c r="N2" s="16">
        <v>0.1930465500859426</v>
      </c>
      <c r="O2" s="16">
        <v>0.63403157125285547</v>
      </c>
      <c r="P2" s="17">
        <v>0.46162096429404631</v>
      </c>
      <c r="R2" s="4" t="s">
        <v>2</v>
      </c>
      <c r="S2" t="str">
        <f>IF(D2&lt;0.05,"S","NS")</f>
        <v>S</v>
      </c>
      <c r="T2" t="str">
        <f t="shared" ref="T2:AE2" si="0">IF(E2&lt;0.05,"S","NS")</f>
        <v>NS</v>
      </c>
      <c r="U2" t="str">
        <f t="shared" si="0"/>
        <v>NS</v>
      </c>
      <c r="V2" t="str">
        <f t="shared" si="0"/>
        <v>S</v>
      </c>
      <c r="W2" t="str">
        <f t="shared" si="0"/>
        <v>NS</v>
      </c>
      <c r="X2" t="str">
        <f t="shared" si="0"/>
        <v>S</v>
      </c>
      <c r="Y2" t="str">
        <f t="shared" si="0"/>
        <v>NS</v>
      </c>
      <c r="Z2" t="str">
        <f t="shared" si="0"/>
        <v>NS</v>
      </c>
      <c r="AA2" t="str">
        <f t="shared" si="0"/>
        <v>NS</v>
      </c>
      <c r="AB2" t="str">
        <f t="shared" si="0"/>
        <v>NS</v>
      </c>
      <c r="AC2" t="str">
        <f t="shared" si="0"/>
        <v>NS</v>
      </c>
      <c r="AD2" t="str">
        <f t="shared" si="0"/>
        <v>NS</v>
      </c>
      <c r="AE2" t="str">
        <f t="shared" si="0"/>
        <v>NS</v>
      </c>
    </row>
    <row r="3" spans="1:31" ht="35.5" x14ac:dyDescent="0.35">
      <c r="A3" s="13"/>
      <c r="B3" s="13"/>
      <c r="C3" s="14" t="s">
        <v>17</v>
      </c>
      <c r="D3" s="23">
        <v>0.26012406219021944</v>
      </c>
      <c r="E3" s="24"/>
      <c r="F3" s="16">
        <v>0.37743842468649424</v>
      </c>
      <c r="G3" s="16">
        <v>4.0134486449708781E-2</v>
      </c>
      <c r="H3" s="16">
        <v>0.84392218801893915</v>
      </c>
      <c r="I3" s="16">
        <v>3.7715677976435755E-2</v>
      </c>
      <c r="J3" s="16">
        <v>0.26967058867578136</v>
      </c>
      <c r="K3" s="16">
        <v>0.32040501980324398</v>
      </c>
      <c r="L3" s="16">
        <v>0.2968309393909675</v>
      </c>
      <c r="M3" s="16">
        <v>0.23406862196836983</v>
      </c>
      <c r="N3" s="16">
        <v>0.79880682914150447</v>
      </c>
      <c r="O3" s="16">
        <v>0.37686206536789202</v>
      </c>
      <c r="P3" s="17">
        <v>0.41850484869589599</v>
      </c>
      <c r="R3" s="5" t="s">
        <v>3</v>
      </c>
      <c r="S3" t="str">
        <f t="shared" ref="S3:S14" si="1">IF(D3&lt;0.05,"S","NS")</f>
        <v>NS</v>
      </c>
      <c r="T3" t="str">
        <f t="shared" ref="T3:T14" si="2">IF(E3&lt;0.05,"S","NS")</f>
        <v>S</v>
      </c>
      <c r="U3" t="str">
        <f t="shared" ref="U3:U14" si="3">IF(F3&lt;0.05,"S","NS")</f>
        <v>NS</v>
      </c>
      <c r="V3" t="str">
        <f t="shared" ref="V3:V14" si="4">IF(G3&lt;0.05,"S","NS")</f>
        <v>S</v>
      </c>
      <c r="W3" t="str">
        <f t="shared" ref="W3:W14" si="5">IF(H3&lt;0.05,"S","NS")</f>
        <v>NS</v>
      </c>
      <c r="X3" t="str">
        <f t="shared" ref="X3:X14" si="6">IF(I3&lt;0.05,"S","NS")</f>
        <v>S</v>
      </c>
      <c r="Y3" t="str">
        <f t="shared" ref="Y3:Y14" si="7">IF(J3&lt;0.05,"S","NS")</f>
        <v>NS</v>
      </c>
      <c r="Z3" t="str">
        <f t="shared" ref="Z3:Z14" si="8">IF(K3&lt;0.05,"S","NS")</f>
        <v>NS</v>
      </c>
      <c r="AA3" t="str">
        <f t="shared" ref="AA3:AA14" si="9">IF(L3&lt;0.05,"S","NS")</f>
        <v>NS</v>
      </c>
      <c r="AB3" t="str">
        <f t="shared" ref="AB3:AB14" si="10">IF(M3&lt;0.05,"S","NS")</f>
        <v>NS</v>
      </c>
      <c r="AC3" t="str">
        <f t="shared" ref="AC3:AC14" si="11">IF(N3&lt;0.05,"S","NS")</f>
        <v>NS</v>
      </c>
      <c r="AD3" t="str">
        <f t="shared" ref="AD3:AD14" si="12">IF(O3&lt;0.05,"S","NS")</f>
        <v>NS</v>
      </c>
      <c r="AE3" t="str">
        <f t="shared" ref="AE3:AE14" si="13">IF(P3&lt;0.05,"S","NS")</f>
        <v>NS</v>
      </c>
    </row>
    <row r="4" spans="1:31" ht="24" x14ac:dyDescent="0.35">
      <c r="A4" s="13"/>
      <c r="B4" s="13"/>
      <c r="C4" s="14" t="s">
        <v>17</v>
      </c>
      <c r="D4" s="23">
        <v>0.35179519572217988</v>
      </c>
      <c r="E4" s="16">
        <v>0.37743842468649424</v>
      </c>
      <c r="F4" s="24"/>
      <c r="G4" s="16">
        <v>0.82489319687989593</v>
      </c>
      <c r="H4" s="16">
        <v>0.54234833480374323</v>
      </c>
      <c r="I4" s="16">
        <v>0.31088479645752515</v>
      </c>
      <c r="J4" s="16">
        <v>0.6258074461410178</v>
      </c>
      <c r="K4" s="16">
        <v>0.62575534574419234</v>
      </c>
      <c r="L4" s="16">
        <v>0.81231092129434956</v>
      </c>
      <c r="M4" s="16">
        <v>0.12116696950643249</v>
      </c>
      <c r="N4" s="16">
        <v>0.74387212031616445</v>
      </c>
      <c r="O4" s="16">
        <v>5.8628072605889217E-2</v>
      </c>
      <c r="P4" s="17">
        <v>0.39081491660969969</v>
      </c>
      <c r="R4" s="5" t="s">
        <v>4</v>
      </c>
      <c r="S4" t="str">
        <f t="shared" si="1"/>
        <v>NS</v>
      </c>
      <c r="T4" t="str">
        <f t="shared" si="2"/>
        <v>NS</v>
      </c>
      <c r="U4" t="str">
        <f t="shared" si="3"/>
        <v>S</v>
      </c>
      <c r="V4" t="str">
        <f t="shared" si="4"/>
        <v>NS</v>
      </c>
      <c r="W4" t="str">
        <f t="shared" si="5"/>
        <v>NS</v>
      </c>
      <c r="X4" t="str">
        <f t="shared" si="6"/>
        <v>NS</v>
      </c>
      <c r="Y4" t="str">
        <f t="shared" si="7"/>
        <v>NS</v>
      </c>
      <c r="Z4" t="str">
        <f t="shared" si="8"/>
        <v>NS</v>
      </c>
      <c r="AA4" t="str">
        <f t="shared" si="9"/>
        <v>NS</v>
      </c>
      <c r="AB4" t="str">
        <f t="shared" si="10"/>
        <v>NS</v>
      </c>
      <c r="AC4" t="str">
        <f t="shared" si="11"/>
        <v>NS</v>
      </c>
      <c r="AD4" t="str">
        <f t="shared" si="12"/>
        <v>NS</v>
      </c>
      <c r="AE4" t="str">
        <f t="shared" si="13"/>
        <v>NS</v>
      </c>
    </row>
    <row r="5" spans="1:31" ht="23" x14ac:dyDescent="0.35">
      <c r="A5" s="13"/>
      <c r="B5" s="13"/>
      <c r="C5" s="14" t="s">
        <v>17</v>
      </c>
      <c r="D5" s="23">
        <v>3.8705801088972126E-2</v>
      </c>
      <c r="E5" s="16">
        <v>4.0134486449708781E-2</v>
      </c>
      <c r="F5" s="16">
        <v>0.82489319687989593</v>
      </c>
      <c r="G5" s="24"/>
      <c r="H5" s="16">
        <v>9.4488567796994674E-2</v>
      </c>
      <c r="I5" s="16">
        <v>6.8064135652295846E-4</v>
      </c>
      <c r="J5" s="16">
        <v>1.982907621598887E-4</v>
      </c>
      <c r="K5" s="16">
        <v>2.031065818718542E-3</v>
      </c>
      <c r="L5" s="16">
        <v>0.38524054007921027</v>
      </c>
      <c r="M5" s="16">
        <v>2.1395989663563643E-4</v>
      </c>
      <c r="N5" s="16">
        <v>4.4176838664687954E-2</v>
      </c>
      <c r="O5" s="16">
        <v>6.449549602273473E-2</v>
      </c>
      <c r="P5" s="17">
        <v>3.8667254385435132E-3</v>
      </c>
      <c r="R5" s="5" t="s">
        <v>5</v>
      </c>
      <c r="S5" t="str">
        <f t="shared" si="1"/>
        <v>S</v>
      </c>
      <c r="T5" t="str">
        <f t="shared" si="2"/>
        <v>S</v>
      </c>
      <c r="U5" t="str">
        <f t="shared" si="3"/>
        <v>NS</v>
      </c>
      <c r="V5" t="str">
        <f t="shared" si="4"/>
        <v>S</v>
      </c>
      <c r="W5" t="str">
        <f t="shared" si="5"/>
        <v>NS</v>
      </c>
      <c r="X5" t="str">
        <f t="shared" si="6"/>
        <v>S</v>
      </c>
      <c r="Y5" t="str">
        <f t="shared" si="7"/>
        <v>S</v>
      </c>
      <c r="Z5" t="str">
        <f t="shared" si="8"/>
        <v>S</v>
      </c>
      <c r="AA5" t="str">
        <f t="shared" si="9"/>
        <v>NS</v>
      </c>
      <c r="AB5" t="str">
        <f t="shared" si="10"/>
        <v>S</v>
      </c>
      <c r="AC5" t="str">
        <f t="shared" si="11"/>
        <v>S</v>
      </c>
      <c r="AD5" t="str">
        <f t="shared" si="12"/>
        <v>NS</v>
      </c>
      <c r="AE5" t="str">
        <f t="shared" si="13"/>
        <v>S</v>
      </c>
    </row>
    <row r="6" spans="1:31" ht="23" x14ac:dyDescent="0.35">
      <c r="A6" s="13"/>
      <c r="B6" s="13"/>
      <c r="C6" s="14" t="s">
        <v>17</v>
      </c>
      <c r="D6" s="23">
        <v>5.2960294969276331E-2</v>
      </c>
      <c r="E6" s="16">
        <v>0.84392218801893915</v>
      </c>
      <c r="F6" s="16">
        <v>0.54234833480374323</v>
      </c>
      <c r="G6" s="16">
        <v>9.4488567796994674E-2</v>
      </c>
      <c r="H6" s="24"/>
      <c r="I6" s="16">
        <v>0.28728284487350814</v>
      </c>
      <c r="J6" s="16">
        <v>0.33686906271975137</v>
      </c>
      <c r="K6" s="16">
        <v>0.21696107850998197</v>
      </c>
      <c r="L6" s="16">
        <v>0.52753475475967249</v>
      </c>
      <c r="M6" s="16">
        <v>0.44890628900053731</v>
      </c>
      <c r="N6" s="16">
        <v>0.4164544355852533</v>
      </c>
      <c r="O6" s="16">
        <v>0.9381997978631974</v>
      </c>
      <c r="P6" s="17">
        <v>0.82938916346435143</v>
      </c>
      <c r="R6" s="5" t="s">
        <v>6</v>
      </c>
      <c r="S6" t="str">
        <f t="shared" si="1"/>
        <v>NS</v>
      </c>
      <c r="T6" t="str">
        <f t="shared" si="2"/>
        <v>NS</v>
      </c>
      <c r="U6" t="str">
        <f t="shared" si="3"/>
        <v>NS</v>
      </c>
      <c r="V6" t="str">
        <f t="shared" si="4"/>
        <v>NS</v>
      </c>
      <c r="W6" t="str">
        <f t="shared" si="5"/>
        <v>S</v>
      </c>
      <c r="X6" t="str">
        <f t="shared" si="6"/>
        <v>NS</v>
      </c>
      <c r="Y6" t="str">
        <f t="shared" si="7"/>
        <v>NS</v>
      </c>
      <c r="Z6" t="str">
        <f t="shared" si="8"/>
        <v>NS</v>
      </c>
      <c r="AA6" t="str">
        <f t="shared" si="9"/>
        <v>NS</v>
      </c>
      <c r="AB6" t="str">
        <f t="shared" si="10"/>
        <v>NS</v>
      </c>
      <c r="AC6" t="str">
        <f t="shared" si="11"/>
        <v>NS</v>
      </c>
      <c r="AD6" t="str">
        <f t="shared" si="12"/>
        <v>NS</v>
      </c>
      <c r="AE6" t="str">
        <f t="shared" si="13"/>
        <v>NS</v>
      </c>
    </row>
    <row r="7" spans="1:31" ht="35.5" x14ac:dyDescent="0.35">
      <c r="A7" s="13"/>
      <c r="B7" s="13"/>
      <c r="C7" s="14" t="s">
        <v>17</v>
      </c>
      <c r="D7" s="23">
        <v>2.5304948287282166E-3</v>
      </c>
      <c r="E7" s="16">
        <v>3.7715677976435755E-2</v>
      </c>
      <c r="F7" s="16">
        <v>0.31088479645752515</v>
      </c>
      <c r="G7" s="16">
        <v>6.8064135652295846E-4</v>
      </c>
      <c r="H7" s="16">
        <v>0.28728284487350814</v>
      </c>
      <c r="I7" s="24"/>
      <c r="J7" s="16">
        <v>4.742906107772938E-3</v>
      </c>
      <c r="K7" s="16">
        <v>0.21436825454406405</v>
      </c>
      <c r="L7" s="16">
        <v>0.28521028124626358</v>
      </c>
      <c r="M7" s="16">
        <v>4.271152484401837E-2</v>
      </c>
      <c r="N7" s="16">
        <v>0.52602951024477307</v>
      </c>
      <c r="O7" s="16">
        <v>0.49913521831288676</v>
      </c>
      <c r="P7" s="17">
        <v>0.66182948570053513</v>
      </c>
      <c r="R7" s="5" t="s">
        <v>7</v>
      </c>
      <c r="S7" t="str">
        <f t="shared" si="1"/>
        <v>S</v>
      </c>
      <c r="T7" t="str">
        <f t="shared" si="2"/>
        <v>S</v>
      </c>
      <c r="U7" t="str">
        <f t="shared" si="3"/>
        <v>NS</v>
      </c>
      <c r="V7" t="str">
        <f t="shared" si="4"/>
        <v>S</v>
      </c>
      <c r="W7" t="str">
        <f t="shared" si="5"/>
        <v>NS</v>
      </c>
      <c r="X7" t="str">
        <f t="shared" si="6"/>
        <v>S</v>
      </c>
      <c r="Y7" t="str">
        <f t="shared" si="7"/>
        <v>S</v>
      </c>
      <c r="Z7" t="str">
        <f t="shared" si="8"/>
        <v>NS</v>
      </c>
      <c r="AA7" t="str">
        <f t="shared" si="9"/>
        <v>NS</v>
      </c>
      <c r="AB7" t="str">
        <f t="shared" si="10"/>
        <v>S</v>
      </c>
      <c r="AC7" t="str">
        <f t="shared" si="11"/>
        <v>NS</v>
      </c>
      <c r="AD7" t="str">
        <f t="shared" si="12"/>
        <v>NS</v>
      </c>
      <c r="AE7" t="str">
        <f t="shared" si="13"/>
        <v>NS</v>
      </c>
    </row>
    <row r="8" spans="1:31" ht="23" x14ac:dyDescent="0.35">
      <c r="A8" s="13"/>
      <c r="B8" s="13"/>
      <c r="C8" s="14" t="s">
        <v>17</v>
      </c>
      <c r="D8" s="23">
        <v>0.93284625525742459</v>
      </c>
      <c r="E8" s="16">
        <v>0.26967058867578136</v>
      </c>
      <c r="F8" s="16">
        <v>0.6258074461410178</v>
      </c>
      <c r="G8" s="16">
        <v>1.982907621598887E-4</v>
      </c>
      <c r="H8" s="16">
        <v>0.33686906271975137</v>
      </c>
      <c r="I8" s="16">
        <v>4.742906107772938E-3</v>
      </c>
      <c r="J8" s="24"/>
      <c r="K8" s="16">
        <v>6.1696689804972157E-2</v>
      </c>
      <c r="L8" s="16">
        <v>0.4153141467621746</v>
      </c>
      <c r="M8" s="16">
        <v>1.0871237948550386E-2</v>
      </c>
      <c r="N8" s="16">
        <v>9.8025972099965632E-3</v>
      </c>
      <c r="O8" s="16">
        <v>2.6139860694167284E-3</v>
      </c>
      <c r="P8" s="17">
        <v>7.1034920257504776E-4</v>
      </c>
      <c r="R8" s="5" t="s">
        <v>8</v>
      </c>
      <c r="S8" t="str">
        <f t="shared" si="1"/>
        <v>NS</v>
      </c>
      <c r="T8" t="str">
        <f t="shared" si="2"/>
        <v>NS</v>
      </c>
      <c r="U8" t="str">
        <f t="shared" si="3"/>
        <v>NS</v>
      </c>
      <c r="V8" t="str">
        <f t="shared" si="4"/>
        <v>S</v>
      </c>
      <c r="W8" t="str">
        <f t="shared" si="5"/>
        <v>NS</v>
      </c>
      <c r="X8" t="str">
        <f t="shared" si="6"/>
        <v>S</v>
      </c>
      <c r="Y8" t="str">
        <f t="shared" si="7"/>
        <v>S</v>
      </c>
      <c r="Z8" t="str">
        <f t="shared" si="8"/>
        <v>NS</v>
      </c>
      <c r="AA8" t="str">
        <f t="shared" si="9"/>
        <v>NS</v>
      </c>
      <c r="AB8" t="str">
        <f t="shared" si="10"/>
        <v>S</v>
      </c>
      <c r="AC8" t="str">
        <f t="shared" si="11"/>
        <v>S</v>
      </c>
      <c r="AD8" t="str">
        <f t="shared" si="12"/>
        <v>S</v>
      </c>
      <c r="AE8" t="str">
        <f t="shared" si="13"/>
        <v>S</v>
      </c>
    </row>
    <row r="9" spans="1:31" ht="24" x14ac:dyDescent="0.35">
      <c r="A9" s="13"/>
      <c r="B9" s="13"/>
      <c r="C9" s="14" t="s">
        <v>17</v>
      </c>
      <c r="D9" s="23">
        <v>0.23093290826608495</v>
      </c>
      <c r="E9" s="16">
        <v>0.32040501980324398</v>
      </c>
      <c r="F9" s="16">
        <v>0.62575534574419234</v>
      </c>
      <c r="G9" s="16">
        <v>2.031065818718542E-3</v>
      </c>
      <c r="H9" s="16">
        <v>0.21696107850998197</v>
      </c>
      <c r="I9" s="16">
        <v>0.21436825454406405</v>
      </c>
      <c r="J9" s="16">
        <v>6.1696689804972157E-2</v>
      </c>
      <c r="K9" s="24"/>
      <c r="L9" s="16">
        <v>0.35912141308475021</v>
      </c>
      <c r="M9" s="16">
        <v>8.3264270392707947E-6</v>
      </c>
      <c r="N9" s="16">
        <v>4.7377280734506394E-6</v>
      </c>
      <c r="O9" s="16">
        <v>4.902587689150346E-5</v>
      </c>
      <c r="P9" s="17">
        <v>1.6599754770625416E-4</v>
      </c>
      <c r="R9" s="5" t="s">
        <v>9</v>
      </c>
      <c r="S9" t="str">
        <f t="shared" si="1"/>
        <v>NS</v>
      </c>
      <c r="T9" t="str">
        <f t="shared" si="2"/>
        <v>NS</v>
      </c>
      <c r="U9" t="str">
        <f t="shared" si="3"/>
        <v>NS</v>
      </c>
      <c r="V9" t="str">
        <f t="shared" si="4"/>
        <v>S</v>
      </c>
      <c r="W9" t="str">
        <f t="shared" si="5"/>
        <v>NS</v>
      </c>
      <c r="X9" t="str">
        <f t="shared" si="6"/>
        <v>NS</v>
      </c>
      <c r="Y9" t="str">
        <f t="shared" si="7"/>
        <v>NS</v>
      </c>
      <c r="Z9" t="str">
        <f t="shared" si="8"/>
        <v>S</v>
      </c>
      <c r="AA9" t="str">
        <f t="shared" si="9"/>
        <v>NS</v>
      </c>
      <c r="AB9" t="str">
        <f t="shared" si="10"/>
        <v>S</v>
      </c>
      <c r="AC9" t="str">
        <f t="shared" si="11"/>
        <v>S</v>
      </c>
      <c r="AD9" t="str">
        <f t="shared" si="12"/>
        <v>S</v>
      </c>
      <c r="AE9" t="str">
        <f t="shared" si="13"/>
        <v>S</v>
      </c>
    </row>
    <row r="10" spans="1:31" ht="24" x14ac:dyDescent="0.35">
      <c r="A10" s="13"/>
      <c r="B10" s="13"/>
      <c r="C10" s="14" t="s">
        <v>17</v>
      </c>
      <c r="D10" s="23">
        <v>8.0777836749110946E-2</v>
      </c>
      <c r="E10" s="16">
        <v>0.2968309393909675</v>
      </c>
      <c r="F10" s="16">
        <v>0.81231092129434956</v>
      </c>
      <c r="G10" s="16">
        <v>0.38524054007921027</v>
      </c>
      <c r="H10" s="16">
        <v>0.52753475475967249</v>
      </c>
      <c r="I10" s="16">
        <v>0.28521028124626358</v>
      </c>
      <c r="J10" s="16">
        <v>0.4153141467621746</v>
      </c>
      <c r="K10" s="16">
        <v>0.35912141308475021</v>
      </c>
      <c r="L10" s="24"/>
      <c r="M10" s="16">
        <v>0.73763994417526368</v>
      </c>
      <c r="N10" s="16">
        <v>0.20557419404472557</v>
      </c>
      <c r="O10" s="16">
        <v>0.20580443842940857</v>
      </c>
      <c r="P10" s="17">
        <v>0.95116363998009856</v>
      </c>
      <c r="R10" s="5" t="s">
        <v>10</v>
      </c>
      <c r="S10" t="str">
        <f t="shared" si="1"/>
        <v>NS</v>
      </c>
      <c r="T10" t="str">
        <f t="shared" si="2"/>
        <v>NS</v>
      </c>
      <c r="U10" t="str">
        <f t="shared" si="3"/>
        <v>NS</v>
      </c>
      <c r="V10" t="str">
        <f t="shared" si="4"/>
        <v>NS</v>
      </c>
      <c r="W10" t="str">
        <f t="shared" si="5"/>
        <v>NS</v>
      </c>
      <c r="X10" t="str">
        <f t="shared" si="6"/>
        <v>NS</v>
      </c>
      <c r="Y10" t="str">
        <f t="shared" si="7"/>
        <v>NS</v>
      </c>
      <c r="Z10" t="str">
        <f t="shared" si="8"/>
        <v>NS</v>
      </c>
      <c r="AA10" t="str">
        <f t="shared" si="9"/>
        <v>S</v>
      </c>
      <c r="AB10" t="str">
        <f t="shared" si="10"/>
        <v>NS</v>
      </c>
      <c r="AC10" t="str">
        <f t="shared" si="11"/>
        <v>NS</v>
      </c>
      <c r="AD10" t="str">
        <f t="shared" si="12"/>
        <v>NS</v>
      </c>
      <c r="AE10" t="str">
        <f t="shared" si="13"/>
        <v>NS</v>
      </c>
    </row>
    <row r="11" spans="1:31" ht="35.5" x14ac:dyDescent="0.35">
      <c r="A11" s="13"/>
      <c r="B11" s="13"/>
      <c r="C11" s="14" t="s">
        <v>17</v>
      </c>
      <c r="D11" s="23">
        <v>0.1667024679828695</v>
      </c>
      <c r="E11" s="16">
        <v>0.23406862196836983</v>
      </c>
      <c r="F11" s="16">
        <v>0.12116696950643249</v>
      </c>
      <c r="G11" s="16">
        <v>2.1395989663563643E-4</v>
      </c>
      <c r="H11" s="16">
        <v>0.44890628900053731</v>
      </c>
      <c r="I11" s="16">
        <v>4.271152484401837E-2</v>
      </c>
      <c r="J11" s="16">
        <v>1.0871237948550386E-2</v>
      </c>
      <c r="K11" s="16">
        <v>8.3264270392707947E-6</v>
      </c>
      <c r="L11" s="16">
        <v>0.73763994417526368</v>
      </c>
      <c r="M11" s="24"/>
      <c r="N11" s="16">
        <v>1.6671732062192685E-8</v>
      </c>
      <c r="O11" s="16">
        <v>5.606906143734018E-6</v>
      </c>
      <c r="P11" s="17">
        <v>3.0554165052466054E-8</v>
      </c>
      <c r="R11" s="5" t="s">
        <v>11</v>
      </c>
      <c r="S11" t="str">
        <f t="shared" si="1"/>
        <v>NS</v>
      </c>
      <c r="T11" t="str">
        <f t="shared" si="2"/>
        <v>NS</v>
      </c>
      <c r="U11" t="str">
        <f t="shared" si="3"/>
        <v>NS</v>
      </c>
      <c r="V11" t="str">
        <f t="shared" si="4"/>
        <v>S</v>
      </c>
      <c r="W11" t="str">
        <f t="shared" si="5"/>
        <v>NS</v>
      </c>
      <c r="X11" t="str">
        <f t="shared" si="6"/>
        <v>S</v>
      </c>
      <c r="Y11" t="str">
        <f t="shared" si="7"/>
        <v>S</v>
      </c>
      <c r="Z11" t="str">
        <f t="shared" si="8"/>
        <v>S</v>
      </c>
      <c r="AA11" t="str">
        <f t="shared" si="9"/>
        <v>NS</v>
      </c>
      <c r="AB11" t="str">
        <f t="shared" si="10"/>
        <v>S</v>
      </c>
      <c r="AC11" t="str">
        <f t="shared" si="11"/>
        <v>S</v>
      </c>
      <c r="AD11" t="str">
        <f t="shared" si="12"/>
        <v>S</v>
      </c>
      <c r="AE11" t="str">
        <f t="shared" si="13"/>
        <v>S</v>
      </c>
    </row>
    <row r="12" spans="1:31" ht="24" x14ac:dyDescent="0.35">
      <c r="A12" s="13"/>
      <c r="B12" s="13"/>
      <c r="C12" s="14" t="s">
        <v>17</v>
      </c>
      <c r="D12" s="23">
        <v>0.1930465500859426</v>
      </c>
      <c r="E12" s="16">
        <v>0.79880682914150447</v>
      </c>
      <c r="F12" s="16">
        <v>0.74387212031616445</v>
      </c>
      <c r="G12" s="16">
        <v>4.4176838664687954E-2</v>
      </c>
      <c r="H12" s="16">
        <v>0.4164544355852533</v>
      </c>
      <c r="I12" s="16">
        <v>0.52602951024477307</v>
      </c>
      <c r="J12" s="16">
        <v>9.8025972099965632E-3</v>
      </c>
      <c r="K12" s="16">
        <v>4.7377280734506394E-6</v>
      </c>
      <c r="L12" s="16">
        <v>0.20557419404472557</v>
      </c>
      <c r="M12" s="16">
        <v>1.6671732062192685E-8</v>
      </c>
      <c r="N12" s="24"/>
      <c r="O12" s="16">
        <v>7.7634082196321232E-8</v>
      </c>
      <c r="P12" s="17">
        <v>3.4563580486555506E-10</v>
      </c>
      <c r="R12" s="5" t="s">
        <v>12</v>
      </c>
      <c r="S12" t="str">
        <f t="shared" si="1"/>
        <v>NS</v>
      </c>
      <c r="T12" t="str">
        <f t="shared" si="2"/>
        <v>NS</v>
      </c>
      <c r="U12" t="str">
        <f t="shared" si="3"/>
        <v>NS</v>
      </c>
      <c r="V12" t="str">
        <f t="shared" si="4"/>
        <v>S</v>
      </c>
      <c r="W12" t="str">
        <f t="shared" si="5"/>
        <v>NS</v>
      </c>
      <c r="X12" t="str">
        <f t="shared" si="6"/>
        <v>NS</v>
      </c>
      <c r="Y12" t="str">
        <f t="shared" si="7"/>
        <v>S</v>
      </c>
      <c r="Z12" t="str">
        <f t="shared" si="8"/>
        <v>S</v>
      </c>
      <c r="AA12" t="str">
        <f t="shared" si="9"/>
        <v>NS</v>
      </c>
      <c r="AB12" t="str">
        <f t="shared" si="10"/>
        <v>S</v>
      </c>
      <c r="AC12" t="str">
        <f t="shared" si="11"/>
        <v>S</v>
      </c>
      <c r="AD12" t="str">
        <f t="shared" si="12"/>
        <v>S</v>
      </c>
      <c r="AE12" t="str">
        <f t="shared" si="13"/>
        <v>S</v>
      </c>
    </row>
    <row r="13" spans="1:31" ht="24" x14ac:dyDescent="0.35">
      <c r="A13" s="13"/>
      <c r="B13" s="13"/>
      <c r="C13" s="14" t="s">
        <v>17</v>
      </c>
      <c r="D13" s="23">
        <v>0.63403157125285547</v>
      </c>
      <c r="E13" s="16">
        <v>0.37686206536789202</v>
      </c>
      <c r="F13" s="16">
        <v>5.8628072605889217E-2</v>
      </c>
      <c r="G13" s="16">
        <v>6.449549602273473E-2</v>
      </c>
      <c r="H13" s="16">
        <v>0.9381997978631974</v>
      </c>
      <c r="I13" s="16">
        <v>0.49913521831288676</v>
      </c>
      <c r="J13" s="16">
        <v>2.6139860694167284E-3</v>
      </c>
      <c r="K13" s="16">
        <v>4.902587689150346E-5</v>
      </c>
      <c r="L13" s="16">
        <v>0.20580443842940857</v>
      </c>
      <c r="M13" s="16">
        <v>5.606906143734018E-6</v>
      </c>
      <c r="N13" s="16">
        <v>7.7634082196321232E-8</v>
      </c>
      <c r="O13" s="24"/>
      <c r="P13" s="17">
        <v>2.0895948070032914E-10</v>
      </c>
      <c r="R13" s="5" t="s">
        <v>13</v>
      </c>
      <c r="S13" t="str">
        <f t="shared" si="1"/>
        <v>NS</v>
      </c>
      <c r="T13" t="str">
        <f t="shared" si="2"/>
        <v>NS</v>
      </c>
      <c r="U13" t="str">
        <f t="shared" si="3"/>
        <v>NS</v>
      </c>
      <c r="V13" t="str">
        <f t="shared" si="4"/>
        <v>NS</v>
      </c>
      <c r="W13" t="str">
        <f t="shared" si="5"/>
        <v>NS</v>
      </c>
      <c r="X13" t="str">
        <f t="shared" si="6"/>
        <v>NS</v>
      </c>
      <c r="Y13" t="str">
        <f t="shared" si="7"/>
        <v>S</v>
      </c>
      <c r="Z13" t="str">
        <f t="shared" si="8"/>
        <v>S</v>
      </c>
      <c r="AA13" t="str">
        <f t="shared" si="9"/>
        <v>NS</v>
      </c>
      <c r="AB13" t="str">
        <f t="shared" si="10"/>
        <v>S</v>
      </c>
      <c r="AC13" t="str">
        <f t="shared" si="11"/>
        <v>S</v>
      </c>
      <c r="AD13" t="str">
        <f t="shared" si="12"/>
        <v>S</v>
      </c>
      <c r="AE13" t="str">
        <f t="shared" si="13"/>
        <v>S</v>
      </c>
    </row>
    <row r="14" spans="1:31" ht="24" x14ac:dyDescent="0.35">
      <c r="A14" s="13"/>
      <c r="B14" s="13"/>
      <c r="C14" s="14" t="s">
        <v>17</v>
      </c>
      <c r="D14" s="23">
        <v>0.46162096429404631</v>
      </c>
      <c r="E14" s="16">
        <v>0.41850484869589599</v>
      </c>
      <c r="F14" s="16">
        <v>0.39081491660969969</v>
      </c>
      <c r="G14" s="16">
        <v>3.8667254385435132E-3</v>
      </c>
      <c r="H14" s="16">
        <v>0.82938916346435143</v>
      </c>
      <c r="I14" s="16">
        <v>0.66182948570053513</v>
      </c>
      <c r="J14" s="16">
        <v>7.1034920257504776E-4</v>
      </c>
      <c r="K14" s="16">
        <v>1.6599754770625416E-4</v>
      </c>
      <c r="L14" s="16">
        <v>0.95116363998009856</v>
      </c>
      <c r="M14" s="16">
        <v>3.0554165052466054E-8</v>
      </c>
      <c r="N14" s="16">
        <v>3.4563580486555506E-10</v>
      </c>
      <c r="O14" s="16">
        <v>2.0895948070032914E-10</v>
      </c>
      <c r="P14" s="25"/>
      <c r="R14" s="6" t="s">
        <v>14</v>
      </c>
      <c r="S14" t="str">
        <f t="shared" si="1"/>
        <v>NS</v>
      </c>
      <c r="T14" t="str">
        <f t="shared" si="2"/>
        <v>NS</v>
      </c>
      <c r="U14" t="str">
        <f t="shared" si="3"/>
        <v>NS</v>
      </c>
      <c r="V14" t="str">
        <f t="shared" si="4"/>
        <v>S</v>
      </c>
      <c r="W14" t="str">
        <f t="shared" si="5"/>
        <v>NS</v>
      </c>
      <c r="X14" t="str">
        <f t="shared" si="6"/>
        <v>NS</v>
      </c>
      <c r="Y14" t="str">
        <f t="shared" si="7"/>
        <v>S</v>
      </c>
      <c r="Z14" t="str">
        <f t="shared" si="8"/>
        <v>S</v>
      </c>
      <c r="AA14" t="str">
        <f t="shared" si="9"/>
        <v>NS</v>
      </c>
      <c r="AB14" t="str">
        <f t="shared" si="10"/>
        <v>S</v>
      </c>
      <c r="AC14" t="str">
        <f t="shared" si="11"/>
        <v>S</v>
      </c>
      <c r="AD14" t="str">
        <f t="shared" si="12"/>
        <v>S</v>
      </c>
      <c r="AE14" t="str">
        <f t="shared" si="13"/>
        <v>S</v>
      </c>
    </row>
  </sheetData>
  <mergeCells count="14">
    <mergeCell ref="B9"/>
    <mergeCell ref="B10"/>
    <mergeCell ref="B11"/>
    <mergeCell ref="B12"/>
    <mergeCell ref="B13"/>
    <mergeCell ref="B14"/>
    <mergeCell ref="A1:C1"/>
    <mergeCell ref="A2:A14"/>
    <mergeCell ref="B3"/>
    <mergeCell ref="B4"/>
    <mergeCell ref="B5"/>
    <mergeCell ref="B6"/>
    <mergeCell ref="B7"/>
    <mergeCell ref="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Asli</vt:lpstr>
      <vt:lpstr>Coefficients</vt:lpstr>
      <vt:lpstr>Significance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2024-08-15T16:14:41Z</dcterms:created>
  <dcterms:modified xsi:type="dcterms:W3CDTF">2024-08-15T16:29:11Z</dcterms:modified>
</cp:coreProperties>
</file>